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Portada" sheetId="1" state="visible" r:id="rId1"/>
    <sheet name="1 Resumen" sheetId="2" state="visible" r:id="rId2"/>
    <sheet name="2 Ocupacion" sheetId="3" state="visible" r:id="rId3"/>
    <sheet name="3 Calendario" sheetId="4" state="visible" r:id="rId4"/>
    <sheet name="4 Gestion mensual" sheetId="5" state="visible" r:id="rId5"/>
    <sheet name="5 Consolida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1B3A6B"/>
      <sz val="18"/>
    </font>
    <font>
      <name val="Arial"/>
      <b val="1"/>
      <color rgb="001A2540"/>
      <sz val="14"/>
    </font>
    <font>
      <name val="Arial"/>
      <color rgb="0064748B"/>
      <sz val="9"/>
    </font>
    <font>
      <name val="Arial"/>
      <b val="1"/>
      <color rgb="0064748B"/>
      <sz val="9"/>
    </font>
    <font>
      <name val="Arial"/>
      <b val="1"/>
      <color rgb="00FFFFFF"/>
      <sz val="9"/>
    </font>
    <font>
      <name val="Arial"/>
      <b val="1"/>
      <color rgb="001A2540"/>
      <sz val="10"/>
    </font>
    <font>
      <name val="Arial"/>
      <color rgb="001A2540"/>
      <sz val="10"/>
    </font>
    <font>
      <name val="Arial"/>
      <b val="1"/>
      <color rgb="00B45309"/>
      <sz val="10"/>
    </font>
    <font>
      <name val="Arial"/>
      <b val="1"/>
      <color rgb="00DC2626"/>
      <sz val="10"/>
    </font>
    <font>
      <name val="Arial"/>
      <b val="1"/>
      <color rgb="0015803D"/>
      <sz val="10"/>
    </font>
    <font>
      <name val="Arial"/>
      <b val="1"/>
      <color rgb="001B3A6B"/>
      <sz val="10"/>
    </font>
    <font>
      <name val="Arial"/>
      <b val="1"/>
      <color rgb="00FFFFFF"/>
      <sz val="10"/>
    </font>
    <font>
      <name val="Arial"/>
      <color rgb="001A2540"/>
      <sz val="9"/>
    </font>
    <font>
      <name val="Arial"/>
      <i val="1"/>
      <color rgb="0064748B"/>
      <sz val="9"/>
    </font>
    <font>
      <name val="Arial"/>
      <b val="1"/>
      <color rgb="00B45309"/>
      <sz val="9"/>
    </font>
    <font>
      <name val="Arial"/>
      <b val="1"/>
      <color rgb="001B3A6B"/>
      <sz val="9"/>
    </font>
    <font>
      <name val="Arial"/>
      <b val="1"/>
      <color rgb="00DC2626"/>
      <sz val="9"/>
    </font>
    <font>
      <name val="Arial"/>
      <b val="1"/>
      <color rgb="001B3A6B"/>
      <sz val="30"/>
    </font>
    <font>
      <name val="Arial"/>
      <color rgb="0064748B"/>
      <sz val="11"/>
    </font>
    <font>
      <name val="Arial"/>
      <b val="1"/>
      <color rgb="001A2540"/>
      <sz val="17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BEB"/>
      </patternFill>
    </fill>
    <fill>
      <patternFill patternType="solid">
        <fgColor rgb="001B6B45"/>
      </patternFill>
    </fill>
    <fill>
      <patternFill patternType="solid">
        <fgColor rgb="001E3A8A"/>
      </patternFill>
    </fill>
    <fill>
      <patternFill patternType="solid">
        <fgColor rgb="00FEF2F2"/>
      </patternFill>
    </fill>
    <fill>
      <patternFill patternType="solid">
        <fgColor rgb="005B21B6"/>
      </patternFill>
    </fill>
    <fill>
      <patternFill patternType="solid">
        <fgColor rgb="00F0FDF4"/>
      </patternFill>
    </fill>
    <fill>
      <patternFill patternType="solid">
        <fgColor rgb="000D6866"/>
      </patternFill>
    </fill>
    <fill>
      <patternFill patternType="solid">
        <fgColor rgb="0078350F"/>
      </patternFill>
    </fill>
    <fill>
      <patternFill patternType="solid">
        <fgColor rgb="00F5F7FA"/>
      </patternFill>
    </fill>
    <fill>
      <patternFill patternType="solid">
        <fgColor rgb="00ECF2FA"/>
      </patternFill>
    </fill>
    <fill>
      <patternFill patternType="solid">
        <fgColor rgb="004B5563"/>
      </patternFill>
    </fill>
    <fill>
      <patternFill patternType="solid">
        <fgColor rgb="00FFF9C4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pivotButton="0" quotePrefix="0" xfId="0"/>
    <xf numFmtId="0" fontId="9" fillId="6" borderId="1" applyAlignment="1" pivotButton="0" quotePrefix="0" xfId="0">
      <alignment horizontal="center" vertical="center"/>
    </xf>
    <xf numFmtId="0" fontId="0" fillId="9" borderId="1" pivotButton="0" quotePrefix="0" xfId="0"/>
    <xf numFmtId="0" fontId="10" fillId="8" borderId="1" applyAlignment="1" pivotButton="0" quotePrefix="0" xfId="0">
      <alignment horizontal="center" vertical="center"/>
    </xf>
    <xf numFmtId="0" fontId="0" fillId="10" borderId="1" pivotButton="0" quotePrefix="0" xfId="0"/>
    <xf numFmtId="9" fontId="8" fillId="3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9" fontId="6" fillId="11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2" fillId="4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9" fontId="6" fillId="11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2" customWidth="1" min="3" max="3"/>
  </cols>
  <sheetData>
    <row r="2">
      <c r="B2" s="49" t="inlineStr">
        <is>
          <t>IES</t>
        </is>
      </c>
    </row>
    <row r="3">
      <c r="B3" s="50" t="inlineStr">
        <is>
          <t>Intelligent Electronic Solutions</t>
        </is>
      </c>
    </row>
    <row r="5">
      <c r="B5" s="51" t="inlineStr">
        <is>
          <t>INFORME DE GESTIÓN DE PROCESOS CONTABLES</t>
        </is>
      </c>
    </row>
    <row r="6">
      <c r="B6" s="50" t="inlineStr">
        <is>
          <t>Carga planificada, ocupación por posición y seguimiento mensual · 2026</t>
        </is>
      </c>
    </row>
    <row r="9">
      <c r="B9" s="52" t="inlineStr">
        <is>
          <t>CONTROL DEL DOCUMENTO</t>
        </is>
      </c>
    </row>
    <row r="10">
      <c r="B10" s="53" t="inlineStr">
        <is>
          <t>Código</t>
        </is>
      </c>
      <c r="C10" s="54" t="inlineStr">
        <is>
          <t>IES-CT-INF-001</t>
        </is>
      </c>
    </row>
    <row r="11">
      <c r="B11" s="53" t="inlineStr">
        <is>
          <t>Versión</t>
        </is>
      </c>
      <c r="C11" s="54" t="inlineStr">
        <is>
          <t>1.0</t>
        </is>
      </c>
    </row>
    <row r="12">
      <c r="B12" s="53" t="inlineStr">
        <is>
          <t>Fecha de emisión</t>
        </is>
      </c>
      <c r="C12" s="54" t="inlineStr">
        <is>
          <t>10 de agosto de 2026</t>
        </is>
      </c>
    </row>
    <row r="13">
      <c r="B13" s="53" t="inlineStr">
        <is>
          <t>Elaborado por</t>
        </is>
      </c>
      <c r="C13" s="54" t="inlineStr">
        <is>
          <t>Cristian Bernal — Contador</t>
        </is>
      </c>
    </row>
    <row r="14">
      <c r="B14" s="53" t="inlineStr">
        <is>
          <t>Dirigido a</t>
        </is>
      </c>
      <c r="C14" s="54" t="inlineStr">
        <is>
          <t>Gerencia · Supervisión · Recursos Humanos</t>
        </is>
      </c>
    </row>
    <row r="15">
      <c r="B15" s="53" t="inlineStr">
        <is>
          <t>Periodicidad</t>
        </is>
      </c>
      <c r="C15" s="54" t="inlineStr">
        <is>
          <t>Mensual, con corte al cierre de cada mes</t>
        </is>
      </c>
    </row>
    <row r="16">
      <c r="B16" s="53" t="inlineStr">
        <is>
          <t>Fuente de datos</t>
        </is>
      </c>
      <c r="C16" s="54" t="inlineStr">
        <is>
          <t>Aplicación IES de seguimiento de procesos contables</t>
        </is>
      </c>
    </row>
    <row r="17">
      <c r="B17" s="53" t="inlineStr">
        <is>
          <t>Alcance</t>
        </is>
      </c>
      <c r="C17" s="54" t="inlineStr">
        <is>
          <t>Ciclo contable mensual — cinco posiciones del proceso</t>
        </is>
      </c>
    </row>
    <row r="20">
      <c r="B20" s="52" t="inlineStr">
        <is>
          <t>CONTENIDO</t>
        </is>
      </c>
    </row>
    <row r="21">
      <c r="B21" s="55" t="inlineStr">
        <is>
          <t>1 Resumen</t>
        </is>
      </c>
      <c r="C21" s="54" t="inlineStr">
        <is>
          <t>Carga anual por persona y concentración de la carga dentro del mes</t>
        </is>
      </c>
    </row>
    <row r="22">
      <c r="B22" s="55" t="inlineStr">
        <is>
          <t>2 Ocupacion</t>
        </is>
      </c>
      <c r="C22" s="54" t="inlineStr">
        <is>
          <t>Días-tarea de cada posición en los doce meses del año</t>
        </is>
      </c>
    </row>
    <row r="23">
      <c r="B23" s="55" t="inlineStr">
        <is>
          <t>3 Calendario</t>
        </is>
      </c>
      <c r="C23" s="54" t="inlineStr">
        <is>
          <t>Hitos del ciclo con fecha límite y nivel de criticidad</t>
        </is>
      </c>
    </row>
    <row r="24">
      <c r="B24" s="55" t="inlineStr">
        <is>
          <t>4 Gestion mensual</t>
        </is>
      </c>
      <c r="C24" s="54" t="inlineStr">
        <is>
          <t>Formato de seguimiento del cumplimiento real, mes a mes</t>
        </is>
      </c>
    </row>
    <row r="25">
      <c r="B25" s="55" t="inlineStr">
        <is>
          <t>5 Consolidado</t>
        </is>
      </c>
      <c r="C25" s="54" t="inlineStr">
        <is>
          <t>Resumen anual del cumplimiento, se alimenta de la hoja 4</t>
        </is>
      </c>
    </row>
    <row r="28">
      <c r="B28" s="52" t="inlineStr">
        <is>
          <t>NOTA METODOLÓGICA</t>
        </is>
      </c>
    </row>
    <row r="29">
      <c r="B29" s="56" t="inlineStr">
        <is>
          <t>·  Días-tarea: suma de los días que cada tarea permanece abierta en el mes. Mide exposición y simultaneidad, no horas trabajadas.</t>
        </is>
      </c>
    </row>
    <row r="30">
      <c r="B30" s="56" t="inlineStr">
        <is>
          <t>·  Ocupación: porcentaje de días del período con al menos una tarea abierta.</t>
        </is>
      </c>
    </row>
    <row r="31">
      <c r="B31" s="56" t="inlineStr">
        <is>
          <t>·  Pico: máximo de tareas de una misma persona abiertas en un mismo día.</t>
        </is>
      </c>
    </row>
    <row r="32">
      <c r="B32" s="56" t="inlineStr">
        <is>
          <t>·  Las hojas 1, 2 y 3 reflejan la carga PLANIFICADA según el catálogo de procesos.</t>
        </is>
      </c>
    </row>
    <row r="33">
      <c r="B33" s="56" t="inlineStr">
        <is>
          <t>·  La hoja 4 registra la EJECUCIÓN real y se diligencia al cierre de cada mes.</t>
        </is>
      </c>
    </row>
  </sheetData>
  <mergeCells count="5">
    <mergeCell ref="B31:G31"/>
    <mergeCell ref="B32:G32"/>
    <mergeCell ref="B30:G30"/>
    <mergeCell ref="B29:G29"/>
    <mergeCell ref="B33:G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4" customWidth="1" min="3" max="3"/>
    <col width="11" customWidth="1" min="4" max="4"/>
    <col width="12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IES</t>
        </is>
      </c>
      <c r="B1" s="2" t="inlineStr">
        <is>
          <t>Informe de Procesos Contables · 2026</t>
        </is>
      </c>
    </row>
    <row r="2">
      <c r="B2" s="3" t="inlineStr">
        <is>
          <t>Resumen ejecutivo para Gerencia · Intelligent Electronic Solutions</t>
        </is>
      </c>
    </row>
    <row r="4">
      <c r="B4" s="4" t="inlineStr">
        <is>
          <t>CARGA PLANIFICADA DEL AÑO</t>
        </is>
      </c>
    </row>
    <row r="5">
      <c r="B5" s="5" t="inlineStr">
        <is>
          <t>Persona</t>
        </is>
      </c>
      <c r="C5" s="5" t="inlineStr">
        <is>
          <t>Cargo</t>
        </is>
      </c>
      <c r="D5" s="5" t="inlineStr">
        <is>
          <t>Tareas
al año</t>
        </is>
      </c>
      <c r="E5" s="5" t="inlineStr">
        <is>
          <t>Días-tarea
al año</t>
        </is>
      </c>
      <c r="F5" s="5" t="inlineStr">
        <is>
          <t>Ocupación</t>
        </is>
      </c>
      <c r="G5" s="5" t="inlineStr">
        <is>
          <t>Tareas/día
promedio</t>
        </is>
      </c>
      <c r="H5" s="5" t="inlineStr">
        <is>
          <t>Pico</t>
        </is>
      </c>
    </row>
    <row r="6">
      <c r="A6" s="6" t="n"/>
      <c r="B6" s="7" t="inlineStr">
        <is>
          <t>Isnardi Sanches</t>
        </is>
      </c>
      <c r="C6" s="8" t="inlineStr">
        <is>
          <t>Tesorera</t>
        </is>
      </c>
      <c r="D6" s="9" t="n">
        <v>72</v>
      </c>
      <c r="E6" s="9" t="n">
        <v>1196</v>
      </c>
      <c r="F6" s="10" t="n">
        <v>1</v>
      </c>
      <c r="G6" s="11" t="n">
        <v>3.28</v>
      </c>
      <c r="H6" s="12" t="n">
        <v>5</v>
      </c>
    </row>
    <row r="7">
      <c r="A7" s="13" t="n"/>
      <c r="B7" s="7" t="inlineStr">
        <is>
          <t>Luis Amador</t>
        </is>
      </c>
      <c r="C7" s="8" t="inlineStr">
        <is>
          <t>Aux. Contable</t>
        </is>
      </c>
      <c r="D7" s="9" t="n">
        <v>120</v>
      </c>
      <c r="E7" s="9" t="n">
        <v>1003</v>
      </c>
      <c r="F7" s="10" t="n">
        <v>1</v>
      </c>
      <c r="G7" s="11" t="n">
        <v>2.75</v>
      </c>
      <c r="H7" s="12" t="n">
        <v>4</v>
      </c>
    </row>
    <row r="8">
      <c r="A8" s="14" t="n"/>
      <c r="B8" s="7" t="inlineStr">
        <is>
          <t>Cristian Bernal</t>
        </is>
      </c>
      <c r="C8" s="8" t="inlineStr">
        <is>
          <t>Contador</t>
        </is>
      </c>
      <c r="D8" s="9" t="n">
        <v>174</v>
      </c>
      <c r="E8" s="9" t="n">
        <v>719</v>
      </c>
      <c r="F8" s="10" t="n">
        <v>1</v>
      </c>
      <c r="G8" s="11" t="n">
        <v>1.97</v>
      </c>
      <c r="H8" s="15" t="n">
        <v>7</v>
      </c>
    </row>
    <row r="9">
      <c r="A9" s="16" t="n"/>
      <c r="B9" s="7" t="inlineStr">
        <is>
          <t>Beatriz</t>
        </is>
      </c>
      <c r="C9" s="8" t="inlineStr">
        <is>
          <t>Insumos Facturación</t>
        </is>
      </c>
      <c r="D9" s="9" t="n">
        <v>24</v>
      </c>
      <c r="E9" s="9" t="n">
        <v>401</v>
      </c>
      <c r="F9" s="10" t="n">
        <v>1</v>
      </c>
      <c r="G9" s="11" t="n">
        <v>1.1</v>
      </c>
      <c r="H9" s="17" t="n">
        <v>2</v>
      </c>
    </row>
    <row r="10">
      <c r="A10" s="18" t="n"/>
      <c r="B10" s="7" t="inlineStr">
        <is>
          <t>Edgar Metaute</t>
        </is>
      </c>
      <c r="C10" s="8" t="inlineStr">
        <is>
          <t>Automatización / Siigo</t>
        </is>
      </c>
      <c r="D10" s="9" t="n">
        <v>60</v>
      </c>
      <c r="E10" s="9" t="n">
        <v>269</v>
      </c>
      <c r="F10" s="10" t="n">
        <v>0.5726027397260274</v>
      </c>
      <c r="G10" s="11" t="n">
        <v>0.74</v>
      </c>
      <c r="H10" s="17" t="n">
        <v>2</v>
      </c>
    </row>
    <row r="13">
      <c r="B13" s="4" t="inlineStr">
        <is>
          <t>CONCENTRACIÓN DE LA CARGA EN EL MES</t>
        </is>
      </c>
    </row>
    <row r="14">
      <c r="B14" s="5" t="inlineStr">
        <is>
          <t>Tramo del mes</t>
        </is>
      </c>
      <c r="C14" s="5" t="inlineStr">
        <is>
          <t>Días-tarea</t>
        </is>
      </c>
      <c r="D14" s="5" t="inlineStr">
        <is>
          <t>Peso</t>
        </is>
      </c>
      <c r="E14" s="5" t="inlineStr">
        <is>
          <t>Lectura</t>
        </is>
      </c>
    </row>
    <row r="15">
      <c r="B15" s="7" t="inlineStr">
        <is>
          <t>Días 1 a 7</t>
        </is>
      </c>
      <c r="C15" s="9" t="n">
        <v>63</v>
      </c>
      <c r="D15" s="10" t="n">
        <v>0.2093023255813954</v>
      </c>
      <c r="E15" s="8" t="inlineStr">
        <is>
          <t>Apertura del mes y facturación</t>
        </is>
      </c>
    </row>
    <row r="16">
      <c r="B16" s="7" t="inlineStr">
        <is>
          <t>Días 8 a 14</t>
        </is>
      </c>
      <c r="C16" s="9" t="n">
        <v>90</v>
      </c>
      <c r="D16" s="19" t="n">
        <v>0.2990033222591362</v>
      </c>
      <c r="E16" s="8" t="inlineStr">
        <is>
          <t>Cierre contable e insumos del informe</t>
        </is>
      </c>
    </row>
    <row r="17">
      <c r="B17" s="7" t="inlineStr">
        <is>
          <t>Días 15 a 21</t>
        </is>
      </c>
      <c r="C17" s="9" t="n">
        <v>54</v>
      </c>
      <c r="D17" s="10" t="n">
        <v>0.1794019933554817</v>
      </c>
      <c r="E17" s="8" t="inlineStr">
        <is>
          <t>Entrega a Gerencia, socios y RADIAN</t>
        </is>
      </c>
    </row>
    <row r="18">
      <c r="B18" s="7" t="inlineStr">
        <is>
          <t>Días 22 a 28</t>
        </is>
      </c>
      <c r="C18" s="9" t="n">
        <v>64</v>
      </c>
      <c r="D18" s="10" t="n">
        <v>0.212624584717608</v>
      </c>
      <c r="E18" s="8" t="inlineStr">
        <is>
          <t>Causaciones y nómina de segunda quincena</t>
        </is>
      </c>
    </row>
    <row r="19">
      <c r="B19" s="7" t="inlineStr">
        <is>
          <t>Días 29 al cierre</t>
        </is>
      </c>
      <c r="C19" s="9" t="n">
        <v>30</v>
      </c>
      <c r="D19" s="10" t="n">
        <v>0.09966777408637874</v>
      </c>
      <c r="E19" s="8" t="inlineStr">
        <is>
          <t>Desembolsos y archivo plano</t>
        </is>
      </c>
    </row>
    <row r="20">
      <c r="B20" s="20" t="inlineStr">
        <is>
          <t>TOTAL</t>
        </is>
      </c>
      <c r="C20" s="21" t="n">
        <v>301</v>
      </c>
      <c r="D20" s="22" t="n">
        <v>1</v>
      </c>
      <c r="E20" s="23" t="inlineStr"/>
    </row>
    <row r="23">
      <c r="B23" s="4" t="inlineStr">
        <is>
          <t>HALLAZGOS</t>
        </is>
      </c>
    </row>
    <row r="24" ht="30" customHeight="1">
      <c r="B24" s="24" t="inlineStr">
        <is>
          <t>Concentración</t>
        </is>
      </c>
      <c r="C24" s="25" t="inlineStr">
        <is>
          <t>El 30% de la carga del mes cae entre los días 8 y 14. Coincide con el cierre contable y con los cinco insumos del informe.</t>
        </is>
      </c>
      <c r="D24" s="57" t="n"/>
      <c r="E24" s="58" t="n"/>
    </row>
    <row r="25" ht="30" customHeight="1">
      <c r="B25" s="24" t="inlineStr">
        <is>
          <t>Pico del equipo</t>
        </is>
      </c>
      <c r="C25" s="25" t="inlineStr">
        <is>
          <t>15 tareas simultáneas del equipo el día 10, 12, 13. Es el punto más tenso del ciclo.</t>
        </is>
      </c>
      <c r="D25" s="57" t="n"/>
      <c r="E25" s="58" t="n"/>
    </row>
    <row r="26" ht="30" customHeight="1">
      <c r="B26" s="24" t="inlineStr">
        <is>
          <t>Contaduría</t>
        </is>
      </c>
      <c r="C26" s="25" t="inlineStr">
        <is>
          <t>Pico de 7 tareas propias en un mismo día. Es la posición con la ventana más apretada del mes.</t>
        </is>
      </c>
      <c r="D26" s="57" t="n"/>
      <c r="E26" s="58" t="n"/>
    </row>
    <row r="27" ht="30" customHeight="1">
      <c r="B27" s="24" t="inlineStr">
        <is>
          <t>Tesorería</t>
        </is>
      </c>
      <c r="C27" s="25" t="inlineStr">
        <is>
          <t>Ocupación del 100%: tiene tareas abiertas todos los días del año por el registro diario de RC y RP.</t>
        </is>
      </c>
      <c r="D27" s="57" t="n"/>
      <c r="E27" s="58" t="n"/>
    </row>
    <row r="28" ht="30" customHeight="1">
      <c r="B28" s="24" t="inlineStr">
        <is>
          <t>Gerencia</t>
        </is>
      </c>
      <c r="C28" s="25" t="inlineStr">
        <is>
          <t>Dos compromisos con fecha: definir viáticos de tarjeta (días 6 a 10) y dar feedback al informe (días 13 a 14).</t>
        </is>
      </c>
      <c r="D28" s="57" t="n"/>
      <c r="E28" s="58" t="n"/>
    </row>
  </sheetData>
  <mergeCells count="5">
    <mergeCell ref="C28:E28"/>
    <mergeCell ref="C27:E27"/>
    <mergeCell ref="C26:E26"/>
    <mergeCell ref="C25:E25"/>
    <mergeCell ref="C24:E2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20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9" customWidth="1" min="15" max="15"/>
  </cols>
  <sheetData>
    <row r="1">
      <c r="A1" s="1" t="inlineStr">
        <is>
          <t>IES</t>
        </is>
      </c>
      <c r="B1" s="2" t="inlineStr">
        <is>
          <t>Nivel de ocupación mes a mes</t>
        </is>
      </c>
    </row>
    <row r="2">
      <c r="B2" s="3" t="inlineStr">
        <is>
          <t>Días-tarea planificados por persona · 2026</t>
        </is>
      </c>
    </row>
    <row r="4">
      <c r="B4" s="4" t="inlineStr">
        <is>
          <t>DÍAS-TAREA POR MES</t>
        </is>
      </c>
    </row>
    <row r="5">
      <c r="B5" s="5" t="inlineStr">
        <is>
          <t>Persona</t>
        </is>
      </c>
      <c r="C5" s="5" t="inlineStr">
        <is>
          <t>Ene</t>
        </is>
      </c>
      <c r="D5" s="5" t="inlineStr">
        <is>
          <t>Feb</t>
        </is>
      </c>
      <c r="E5" s="5" t="inlineStr">
        <is>
          <t>Mar</t>
        </is>
      </c>
      <c r="F5" s="5" t="inlineStr">
        <is>
          <t>Abr</t>
        </is>
      </c>
      <c r="G5" s="5" t="inlineStr">
        <is>
          <t>May</t>
        </is>
      </c>
      <c r="H5" s="5" t="inlineStr">
        <is>
          <t>Jun</t>
        </is>
      </c>
      <c r="I5" s="5" t="inlineStr">
        <is>
          <t>Jul</t>
        </is>
      </c>
      <c r="J5" s="5" t="inlineStr">
        <is>
          <t>Ago</t>
        </is>
      </c>
      <c r="K5" s="5" t="inlineStr">
        <is>
          <t>Sep</t>
        </is>
      </c>
      <c r="L5" s="5" t="inlineStr">
        <is>
          <t>Oct</t>
        </is>
      </c>
      <c r="M5" s="5" t="inlineStr">
        <is>
          <t>Nov</t>
        </is>
      </c>
      <c r="N5" s="5" t="inlineStr">
        <is>
          <t>Dic</t>
        </is>
      </c>
      <c r="O5" s="5" t="inlineStr">
        <is>
          <t>Año</t>
        </is>
      </c>
    </row>
    <row r="6">
      <c r="B6" s="27" t="inlineStr">
        <is>
          <t>Isnardi</t>
        </is>
      </c>
      <c r="C6" s="28" t="n">
        <v>102</v>
      </c>
      <c r="D6" s="28" t="n">
        <v>90</v>
      </c>
      <c r="E6" s="28" t="n">
        <v>102</v>
      </c>
      <c r="F6" s="28" t="n">
        <v>98</v>
      </c>
      <c r="G6" s="28" t="n">
        <v>102</v>
      </c>
      <c r="H6" s="28" t="n">
        <v>98</v>
      </c>
      <c r="I6" s="28" t="n">
        <v>102</v>
      </c>
      <c r="J6" s="28" t="n">
        <v>102</v>
      </c>
      <c r="K6" s="28" t="n">
        <v>98</v>
      </c>
      <c r="L6" s="28" t="n">
        <v>102</v>
      </c>
      <c r="M6" s="28" t="n">
        <v>98</v>
      </c>
      <c r="N6" s="28" t="n">
        <v>102</v>
      </c>
      <c r="O6" s="21" t="n">
        <v>1196</v>
      </c>
    </row>
    <row r="7">
      <c r="B7" s="29" t="inlineStr">
        <is>
          <t>Luis</t>
        </is>
      </c>
      <c r="C7" s="28" t="n">
        <v>85</v>
      </c>
      <c r="D7" s="30" t="n">
        <v>76</v>
      </c>
      <c r="E7" s="28" t="n">
        <v>85</v>
      </c>
      <c r="F7" s="28" t="n">
        <v>83</v>
      </c>
      <c r="G7" s="28" t="n">
        <v>85</v>
      </c>
      <c r="H7" s="28" t="n">
        <v>83</v>
      </c>
      <c r="I7" s="28" t="n">
        <v>85</v>
      </c>
      <c r="J7" s="28" t="n">
        <v>85</v>
      </c>
      <c r="K7" s="28" t="n">
        <v>83</v>
      </c>
      <c r="L7" s="28" t="n">
        <v>85</v>
      </c>
      <c r="M7" s="28" t="n">
        <v>83</v>
      </c>
      <c r="N7" s="28" t="n">
        <v>85</v>
      </c>
      <c r="O7" s="21" t="n">
        <v>1003</v>
      </c>
    </row>
    <row r="8">
      <c r="B8" s="31" t="inlineStr">
        <is>
          <t>Cristian</t>
        </is>
      </c>
      <c r="C8" s="30" t="n">
        <v>64</v>
      </c>
      <c r="D8" s="30" t="n">
        <v>54</v>
      </c>
      <c r="E8" s="30" t="n">
        <v>64</v>
      </c>
      <c r="F8" s="30" t="n">
        <v>56</v>
      </c>
      <c r="G8" s="30" t="n">
        <v>64</v>
      </c>
      <c r="H8" s="30" t="n">
        <v>56</v>
      </c>
      <c r="I8" s="30" t="n">
        <v>64</v>
      </c>
      <c r="J8" s="30" t="n">
        <v>57</v>
      </c>
      <c r="K8" s="30" t="n">
        <v>63</v>
      </c>
      <c r="L8" s="30" t="n">
        <v>57</v>
      </c>
      <c r="M8" s="30" t="n">
        <v>63</v>
      </c>
      <c r="N8" s="30" t="n">
        <v>57</v>
      </c>
      <c r="O8" s="21" t="n">
        <v>719</v>
      </c>
    </row>
    <row r="9">
      <c r="B9" s="32" t="inlineStr">
        <is>
          <t>Beatriz</t>
        </is>
      </c>
      <c r="C9" s="33" t="n">
        <v>34</v>
      </c>
      <c r="D9" s="33" t="n">
        <v>31</v>
      </c>
      <c r="E9" s="33" t="n">
        <v>34</v>
      </c>
      <c r="F9" s="33" t="n">
        <v>33</v>
      </c>
      <c r="G9" s="33" t="n">
        <v>34</v>
      </c>
      <c r="H9" s="33" t="n">
        <v>33</v>
      </c>
      <c r="I9" s="33" t="n">
        <v>34</v>
      </c>
      <c r="J9" s="33" t="n">
        <v>34</v>
      </c>
      <c r="K9" s="33" t="n">
        <v>33</v>
      </c>
      <c r="L9" s="33" t="n">
        <v>34</v>
      </c>
      <c r="M9" s="33" t="n">
        <v>33</v>
      </c>
      <c r="N9" s="33" t="n">
        <v>34</v>
      </c>
      <c r="O9" s="21" t="n">
        <v>401</v>
      </c>
    </row>
    <row r="10">
      <c r="B10" s="34" t="inlineStr">
        <is>
          <t>Edgar</t>
        </is>
      </c>
      <c r="C10" s="9" t="n">
        <v>23</v>
      </c>
      <c r="D10" s="9" t="n">
        <v>20</v>
      </c>
      <c r="E10" s="9" t="n">
        <v>23</v>
      </c>
      <c r="F10" s="9" t="n">
        <v>22</v>
      </c>
      <c r="G10" s="9" t="n">
        <v>23</v>
      </c>
      <c r="H10" s="9" t="n">
        <v>22</v>
      </c>
      <c r="I10" s="9" t="n">
        <v>23</v>
      </c>
      <c r="J10" s="9" t="n">
        <v>23</v>
      </c>
      <c r="K10" s="9" t="n">
        <v>22</v>
      </c>
      <c r="L10" s="9" t="n">
        <v>23</v>
      </c>
      <c r="M10" s="9" t="n">
        <v>22</v>
      </c>
      <c r="N10" s="9" t="n">
        <v>23</v>
      </c>
      <c r="O10" s="21" t="n">
        <v>269</v>
      </c>
    </row>
    <row r="11">
      <c r="B11" s="35" t="inlineStr">
        <is>
          <t>EQUIPO</t>
        </is>
      </c>
      <c r="C11" s="21" t="n">
        <v>308</v>
      </c>
      <c r="D11" s="21" t="n">
        <v>271</v>
      </c>
      <c r="E11" s="21" t="n">
        <v>308</v>
      </c>
      <c r="F11" s="21" t="n">
        <v>292</v>
      </c>
      <c r="G11" s="21" t="n">
        <v>308</v>
      </c>
      <c r="H11" s="21" t="n">
        <v>292</v>
      </c>
      <c r="I11" s="21" t="n">
        <v>308</v>
      </c>
      <c r="J11" s="21" t="n">
        <v>301</v>
      </c>
      <c r="K11" s="21" t="n">
        <v>299</v>
      </c>
      <c r="L11" s="21" t="n">
        <v>301</v>
      </c>
      <c r="M11" s="21" t="n">
        <v>299</v>
      </c>
      <c r="N11" s="21" t="n">
        <v>301</v>
      </c>
      <c r="O11" s="21" t="n">
        <v>3588</v>
      </c>
    </row>
    <row r="14">
      <c r="B14" s="4" t="inlineStr">
        <is>
          <t>OCUPACIÓN Y PICO POR PERSONA</t>
        </is>
      </c>
    </row>
    <row r="15">
      <c r="B15" s="5" t="inlineStr">
        <is>
          <t>Persona</t>
        </is>
      </c>
      <c r="C15" s="5" t="inlineStr">
        <is>
          <t>Tareas
mes tipo</t>
        </is>
      </c>
      <c r="D15" s="5" t="inlineStr">
        <is>
          <t>Días con
tarea abierta</t>
        </is>
      </c>
      <c r="E15" s="5" t="inlineStr">
        <is>
          <t>Ocupación
del mes</t>
        </is>
      </c>
      <c r="F15" s="5" t="inlineStr">
        <is>
          <t>Tareas/día
promedio</t>
        </is>
      </c>
      <c r="G15" s="5" t="inlineStr">
        <is>
          <t>Pico del
mes</t>
        </is>
      </c>
      <c r="H15" s="5" t="inlineStr">
        <is>
          <t>Días del pico</t>
        </is>
      </c>
    </row>
    <row r="16">
      <c r="B16" s="7" t="inlineStr">
        <is>
          <t>Isnardi Sanches</t>
        </is>
      </c>
      <c r="C16" s="9" t="n">
        <v>6</v>
      </c>
      <c r="D16" s="9" t="inlineStr">
        <is>
          <t>31 de 31</t>
        </is>
      </c>
      <c r="E16" s="10" t="n">
        <v>1</v>
      </c>
      <c r="F16" s="11" t="n">
        <v>3.29</v>
      </c>
      <c r="G16" s="36" t="n">
        <v>5</v>
      </c>
      <c r="H16" s="37" t="inlineStr">
        <is>
          <t>14, 15</t>
        </is>
      </c>
    </row>
    <row r="17">
      <c r="B17" s="7" t="inlineStr">
        <is>
          <t>Luis Amador</t>
        </is>
      </c>
      <c r="C17" s="9" t="n">
        <v>10</v>
      </c>
      <c r="D17" s="9" t="inlineStr">
        <is>
          <t>31 de 31</t>
        </is>
      </c>
      <c r="E17" s="10" t="n">
        <v>1</v>
      </c>
      <c r="F17" s="11" t="n">
        <v>2.74</v>
      </c>
      <c r="G17" s="36" t="n">
        <v>4</v>
      </c>
      <c r="H17" s="37" t="inlineStr">
        <is>
          <t>10, 25, 26, 27, 28, 29</t>
        </is>
      </c>
    </row>
    <row r="18">
      <c r="B18" s="7" t="inlineStr">
        <is>
          <t>Cristian Bernal</t>
        </is>
      </c>
      <c r="C18" s="9" t="n">
        <v>14</v>
      </c>
      <c r="D18" s="9" t="inlineStr">
        <is>
          <t>31 de 31</t>
        </is>
      </c>
      <c r="E18" s="10" t="n">
        <v>1</v>
      </c>
      <c r="F18" s="11" t="n">
        <v>1.84</v>
      </c>
      <c r="G18" s="38" t="n">
        <v>7</v>
      </c>
      <c r="H18" s="37" t="inlineStr">
        <is>
          <t>12</t>
        </is>
      </c>
    </row>
    <row r="19">
      <c r="B19" s="7" t="inlineStr">
        <is>
          <t>Beatriz</t>
        </is>
      </c>
      <c r="C19" s="9" t="n">
        <v>2</v>
      </c>
      <c r="D19" s="9" t="inlineStr">
        <is>
          <t>31 de 31</t>
        </is>
      </c>
      <c r="E19" s="10" t="n">
        <v>1</v>
      </c>
      <c r="F19" s="11" t="n">
        <v>1.1</v>
      </c>
      <c r="G19" s="39" t="n">
        <v>2</v>
      </c>
      <c r="H19" s="37" t="inlineStr">
        <is>
          <t>10, 11, 12</t>
        </is>
      </c>
    </row>
    <row r="20">
      <c r="B20" s="7" t="inlineStr">
        <is>
          <t>Edgar Metaute</t>
        </is>
      </c>
      <c r="C20" s="9" t="n">
        <v>5</v>
      </c>
      <c r="D20" s="9" t="inlineStr">
        <is>
          <t>18 de 31</t>
        </is>
      </c>
      <c r="E20" s="10" t="n">
        <v>0.5806451612903226</v>
      </c>
      <c r="F20" s="11" t="n">
        <v>0.74</v>
      </c>
      <c r="G20" s="39" t="n">
        <v>2</v>
      </c>
      <c r="H20" s="37" t="inlineStr">
        <is>
          <t>1, 2, 3, 4, 5</t>
        </is>
      </c>
    </row>
    <row r="23">
      <c r="B23" s="40" t="inlineStr">
        <is>
          <t>Días-tarea: suma de los días que cada tarea permanece abierta. Mide exposición, no horas trabajadas.</t>
        </is>
      </c>
    </row>
    <row r="24">
      <c r="B24" s="40" t="inlineStr">
        <is>
          <t>Pico: máximo de tareas de esa persona abiertas en un mismo día. Verde hasta 3, ámbar 4 y 5, rojo desde 6.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52" customWidth="1" min="4" max="4"/>
    <col width="13" customWidth="1" min="5" max="5"/>
    <col width="12" customWidth="1" min="6" max="6"/>
  </cols>
  <sheetData>
    <row r="1">
      <c r="A1" s="1" t="inlineStr">
        <is>
          <t>IES</t>
        </is>
      </c>
      <c r="B1" s="2" t="inlineStr">
        <is>
          <t>Calendario del ciclo mensual</t>
        </is>
      </c>
    </row>
    <row r="2">
      <c r="B2" s="3" t="inlineStr">
        <is>
          <t>Hitos con fecha comprometida · aplica todos los meses</t>
        </is>
      </c>
    </row>
    <row r="4">
      <c r="B4" s="5" t="inlineStr">
        <is>
          <t>Días</t>
        </is>
      </c>
      <c r="C4" s="5" t="inlineStr">
        <is>
          <t>Responsable</t>
        </is>
      </c>
      <c r="D4" s="5" t="inlineStr">
        <is>
          <t>Hito</t>
        </is>
      </c>
      <c r="E4" s="5" t="inlineStr">
        <is>
          <t>Fecha límite</t>
        </is>
      </c>
      <c r="F4" s="5" t="inlineStr">
        <is>
          <t>Criticidad</t>
        </is>
      </c>
    </row>
    <row r="5" ht="22" customHeight="1">
      <c r="B5" s="41" t="inlineStr">
        <is>
          <t>1 al 5</t>
        </is>
      </c>
      <c r="C5" s="8" t="inlineStr">
        <is>
          <t>Edgar Metaute</t>
        </is>
      </c>
      <c r="D5" s="25" t="inlineStr">
        <is>
          <t>Emisión de facturas electrónicas</t>
        </is>
      </c>
      <c r="E5" s="9" t="inlineStr">
        <is>
          <t>Día 5</t>
        </is>
      </c>
      <c r="F5" s="42" t="inlineStr">
        <is>
          <t>Alta</t>
        </is>
      </c>
    </row>
    <row r="6" ht="22" customHeight="1">
      <c r="B6" s="41" t="inlineStr">
        <is>
          <t>3 al 9</t>
        </is>
      </c>
      <c r="C6" s="8" t="inlineStr">
        <is>
          <t>Luis Amador</t>
        </is>
      </c>
      <c r="D6" s="25" t="inlineStr">
        <is>
          <t>Conciliación bancaria</t>
        </is>
      </c>
      <c r="E6" s="9" t="inlineStr">
        <is>
          <t>Día 9</t>
        </is>
      </c>
      <c r="F6" s="43" t="inlineStr">
        <is>
          <t>Media</t>
        </is>
      </c>
    </row>
    <row r="7" ht="22" customHeight="1">
      <c r="B7" s="41" t="inlineStr">
        <is>
          <t>6 al 10</t>
        </is>
      </c>
      <c r="C7" s="8" t="inlineStr">
        <is>
          <t>Luis + Edgar</t>
        </is>
      </c>
      <c r="D7" s="25" t="inlineStr">
        <is>
          <t>Conciliación de tarjeta y definición de viáticos</t>
        </is>
      </c>
      <c r="E7" s="9" t="inlineStr">
        <is>
          <t>Día 10</t>
        </is>
      </c>
      <c r="F7" s="42" t="inlineStr">
        <is>
          <t>Alta</t>
        </is>
      </c>
    </row>
    <row r="8" ht="22" customHeight="1">
      <c r="B8" s="41" t="inlineStr">
        <is>
          <t>10 al 13</t>
        </is>
      </c>
      <c r="C8" s="8" t="inlineStr">
        <is>
          <t>Luis Amador</t>
        </is>
      </c>
      <c r="D8" s="25" t="inlineStr">
        <is>
          <t>Causación de seguridad social</t>
        </is>
      </c>
      <c r="E8" s="9" t="inlineStr">
        <is>
          <t>Día 13</t>
        </is>
      </c>
      <c r="F8" s="44" t="inlineStr">
        <is>
          <t>Legal</t>
        </is>
      </c>
    </row>
    <row r="9" ht="22" customHeight="1">
      <c r="B9" s="41" t="inlineStr">
        <is>
          <t>10 al 14</t>
        </is>
      </c>
      <c r="C9" s="8" t="inlineStr">
        <is>
          <t>Luis Amador</t>
        </is>
      </c>
      <c r="D9" s="25" t="inlineStr">
        <is>
          <t>Causación de nómina primera quincena</t>
        </is>
      </c>
      <c r="E9" s="9" t="inlineStr">
        <is>
          <t>Día 14</t>
        </is>
      </c>
      <c r="F9" s="44" t="inlineStr">
        <is>
          <t>Legal</t>
        </is>
      </c>
    </row>
    <row r="10" ht="22" customHeight="1">
      <c r="B10" s="41" t="inlineStr">
        <is>
          <t>10 al 14</t>
        </is>
      </c>
      <c r="C10" s="8" t="inlineStr">
        <is>
          <t>Cristian Bernal</t>
        </is>
      </c>
      <c r="D10" s="25" t="inlineStr">
        <is>
          <t>Cierre contable y retención en la fuente</t>
        </is>
      </c>
      <c r="E10" s="9" t="inlineStr">
        <is>
          <t>Día 14</t>
        </is>
      </c>
      <c r="F10" s="44" t="inlineStr">
        <is>
          <t>Legal</t>
        </is>
      </c>
    </row>
    <row r="11" ht="22" customHeight="1">
      <c r="B11" s="41" t="inlineStr">
        <is>
          <t>9 al 13</t>
        </is>
      </c>
      <c r="C11" s="8" t="inlineStr">
        <is>
          <t>Cristian Bernal</t>
        </is>
      </c>
      <c r="D11" s="25" t="inlineStr">
        <is>
          <t>Insumos del informe: flujo, cartera, recaudo, EESF, ER</t>
        </is>
      </c>
      <c r="E11" s="9" t="inlineStr">
        <is>
          <t>Día 13</t>
        </is>
      </c>
      <c r="F11" s="42" t="inlineStr">
        <is>
          <t>Alta</t>
        </is>
      </c>
    </row>
    <row r="12" ht="22" customHeight="1">
      <c r="B12" s="41" t="inlineStr">
        <is>
          <t>10 al 12</t>
        </is>
      </c>
      <c r="C12" s="8" t="inlineStr">
        <is>
          <t>Beatriz</t>
        </is>
      </c>
      <c r="D12" s="25" t="inlineStr">
        <is>
          <t>Comentarios comerciales al informe</t>
        </is>
      </c>
      <c r="E12" s="9" t="inlineStr">
        <is>
          <t>Día 12</t>
        </is>
      </c>
      <c r="F12" s="43" t="inlineStr">
        <is>
          <t>Media</t>
        </is>
      </c>
    </row>
    <row r="13" ht="22" customHeight="1">
      <c r="B13" s="41" t="inlineStr">
        <is>
          <t>13 al 15</t>
        </is>
      </c>
      <c r="C13" s="8" t="inlineStr">
        <is>
          <t>Isnardi Sanches</t>
        </is>
      </c>
      <c r="D13" s="25" t="inlineStr">
        <is>
          <t>Pago de seguridad social</t>
        </is>
      </c>
      <c r="E13" s="9" t="inlineStr">
        <is>
          <t>Día 15</t>
        </is>
      </c>
      <c r="F13" s="44" t="inlineStr">
        <is>
          <t>Legal</t>
        </is>
      </c>
    </row>
    <row r="14" ht="22" customHeight="1">
      <c r="B14" s="41" t="inlineStr">
        <is>
          <t>13 al 14</t>
        </is>
      </c>
      <c r="C14" s="8" t="inlineStr">
        <is>
          <t>Edgar Metaute</t>
        </is>
      </c>
      <c r="D14" s="25" t="inlineStr">
        <is>
          <t>Feedback del informe antes de socios</t>
        </is>
      </c>
      <c r="E14" s="9" t="inlineStr">
        <is>
          <t>Día 14</t>
        </is>
      </c>
      <c r="F14" s="42" t="inlineStr">
        <is>
          <t>Alta</t>
        </is>
      </c>
    </row>
    <row r="15" ht="22" customHeight="1">
      <c r="B15" s="41" t="inlineStr">
        <is>
          <t>14 al 16</t>
        </is>
      </c>
      <c r="C15" s="8" t="inlineStr">
        <is>
          <t>Isnardi Sanches</t>
        </is>
      </c>
      <c r="D15" s="25" t="inlineStr">
        <is>
          <t>Desembolso de nómina primera quincena</t>
        </is>
      </c>
      <c r="E15" s="9" t="inlineStr">
        <is>
          <t>Día 16</t>
        </is>
      </c>
      <c r="F15" s="44" t="inlineStr">
        <is>
          <t>Legal</t>
        </is>
      </c>
    </row>
    <row r="16" ht="22" customHeight="1">
      <c r="B16" s="41" t="inlineStr">
        <is>
          <t>13 al 15</t>
        </is>
      </c>
      <c r="C16" s="8" t="inlineStr">
        <is>
          <t>Cristian Bernal</t>
        </is>
      </c>
      <c r="D16" s="25" t="inlineStr">
        <is>
          <t>Entrega del dashboard a Gerencia</t>
        </is>
      </c>
      <c r="E16" s="9" t="inlineStr">
        <is>
          <t>Día 15</t>
        </is>
      </c>
      <c r="F16" s="42" t="inlineStr">
        <is>
          <t>Alta</t>
        </is>
      </c>
    </row>
    <row r="17" ht="22" customHeight="1">
      <c r="B17" s="41" t="inlineStr">
        <is>
          <t>15 al 20</t>
        </is>
      </c>
      <c r="C17" s="8" t="inlineStr">
        <is>
          <t>Cristian Bernal</t>
        </is>
      </c>
      <c r="D17" s="25" t="inlineStr">
        <is>
          <t>Proceso con socios</t>
        </is>
      </c>
      <c r="E17" s="9" t="inlineStr">
        <is>
          <t>Día 20</t>
        </is>
      </c>
      <c r="F17" s="42" t="inlineStr">
        <is>
          <t>Alta</t>
        </is>
      </c>
    </row>
    <row r="18" ht="22" customHeight="1">
      <c r="B18" s="41" t="inlineStr">
        <is>
          <t>15 al 21</t>
        </is>
      </c>
      <c r="C18" s="8" t="inlineStr">
        <is>
          <t>Cristian Bernal</t>
        </is>
      </c>
      <c r="D18" s="25" t="inlineStr">
        <is>
          <t>Declaración de IVA (meses del bimestre)</t>
        </is>
      </c>
      <c r="E18" s="9" t="inlineStr">
        <is>
          <t>Día 21</t>
        </is>
      </c>
      <c r="F18" s="44" t="inlineStr">
        <is>
          <t>Legal</t>
        </is>
      </c>
    </row>
    <row r="19" ht="22" customHeight="1">
      <c r="B19" s="41" t="inlineStr">
        <is>
          <t>15 al 25</t>
        </is>
      </c>
      <c r="C19" s="8" t="inlineStr">
        <is>
          <t>Luis Amador</t>
        </is>
      </c>
      <c r="D19" s="25" t="inlineStr">
        <is>
          <t>Validación RADIAN</t>
        </is>
      </c>
      <c r="E19" s="9" t="inlineStr">
        <is>
          <t>Día 25</t>
        </is>
      </c>
      <c r="F19" s="43" t="inlineStr">
        <is>
          <t>Media</t>
        </is>
      </c>
    </row>
    <row r="20" ht="22" customHeight="1">
      <c r="B20" s="41" t="inlineStr">
        <is>
          <t>25 al 29</t>
        </is>
      </c>
      <c r="C20" s="8" t="inlineStr">
        <is>
          <t>Luis Amador</t>
        </is>
      </c>
      <c r="D20" s="25" t="inlineStr">
        <is>
          <t>Causación de nómina segunda quincena</t>
        </is>
      </c>
      <c r="E20" s="9" t="inlineStr">
        <is>
          <t>Día 29</t>
        </is>
      </c>
      <c r="F20" s="44" t="inlineStr">
        <is>
          <t>Legal</t>
        </is>
      </c>
    </row>
    <row r="21" ht="22" customHeight="1">
      <c r="B21" s="41" t="inlineStr">
        <is>
          <t>26 al cierre</t>
        </is>
      </c>
      <c r="C21" s="8" t="inlineStr">
        <is>
          <t>Luis + Edgar</t>
        </is>
      </c>
      <c r="D21" s="25" t="inlineStr">
        <is>
          <t>Archivo plano para facturar el día 1</t>
        </is>
      </c>
      <c r="E21" s="9" t="inlineStr">
        <is>
          <t>Cierre</t>
        </is>
      </c>
      <c r="F21" s="42" t="inlineStr">
        <is>
          <t>Alta</t>
        </is>
      </c>
    </row>
    <row r="22" ht="22" customHeight="1">
      <c r="B22" s="41" t="inlineStr">
        <is>
          <t>29 al cierre</t>
        </is>
      </c>
      <c r="C22" s="8" t="inlineStr">
        <is>
          <t>Isnardi Sanches</t>
        </is>
      </c>
      <c r="D22" s="25" t="inlineStr">
        <is>
          <t>Desembolso de nómina segunda quincena</t>
        </is>
      </c>
      <c r="E22" s="9" t="inlineStr">
        <is>
          <t>Cierre</t>
        </is>
      </c>
      <c r="F22" s="44" t="inlineStr">
        <is>
          <t>Legal</t>
        </is>
      </c>
    </row>
    <row r="25">
      <c r="B25" s="40" t="inlineStr">
        <is>
          <t>Legal: tiene vencimiento de ley, no admite aplazamiento.</t>
        </is>
      </c>
    </row>
    <row r="26">
      <c r="B26" s="40" t="inlineStr">
        <is>
          <t>Alta: si se retrasa, frena a otra persona del equipo.</t>
        </is>
      </c>
    </row>
    <row r="27">
      <c r="B27" s="40" t="inlineStr">
        <is>
          <t>Media: afecta solo al proceso propio.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13" customWidth="1" min="4" max="4"/>
    <col width="13" customWidth="1" min="5" max="5"/>
    <col width="11" customWidth="1" min="6" max="6"/>
    <col width="42" customWidth="1" min="7" max="7"/>
  </cols>
  <sheetData>
    <row r="1">
      <c r="A1" s="1" t="inlineStr">
        <is>
          <t>IES</t>
        </is>
      </c>
      <c r="B1" s="2" t="inlineStr">
        <is>
          <t>Nivel de gestión mes a mes</t>
        </is>
      </c>
    </row>
    <row r="2">
      <c r="B2" s="3" t="inlineStr">
        <is>
          <t>Cumplimiento real · se diligencia al cierre de cada mes</t>
        </is>
      </c>
    </row>
    <row r="3"/>
    <row r="4">
      <c r="B4" s="4" t="inlineStr">
        <is>
          <t>CÓMO SE DILIGENCIA</t>
        </is>
      </c>
    </row>
    <row r="5">
      <c r="B5" s="45" t="inlineStr">
        <is>
          <t>·  Al cierre de cada mes, tomar de la aplicación el número de tareas completadas por persona.</t>
        </is>
      </c>
    </row>
    <row r="6">
      <c r="B6" s="45" t="inlineStr">
        <is>
          <t>·  Escribir ese número en las celdas de fondo amarillo. Las demás columnas se calculan solas.</t>
        </is>
      </c>
    </row>
    <row r="7">
      <c r="B7" s="45" t="inlineStr">
        <is>
          <t>·  La columna Programadas ya viene con el dato del mes correspondiente.</t>
        </is>
      </c>
    </row>
    <row r="8"/>
    <row r="9">
      <c r="B9" s="35" t="inlineStr">
        <is>
          <t>ENERO</t>
        </is>
      </c>
      <c r="C9" s="46" t="n"/>
      <c r="D9" s="46" t="n"/>
      <c r="E9" s="46" t="n"/>
      <c r="F9" s="46" t="n"/>
      <c r="G9" s="46" t="n"/>
    </row>
    <row r="10">
      <c r="B10" s="47" t="inlineStr">
        <is>
          <t>Persona</t>
        </is>
      </c>
      <c r="C10" s="47" t="inlineStr">
        <is>
          <t>Programadas</t>
        </is>
      </c>
      <c r="D10" s="47" t="inlineStr">
        <is>
          <t>Completadas</t>
        </is>
      </c>
      <c r="E10" s="47" t="inlineStr">
        <is>
          <t>Cumplimiento</t>
        </is>
      </c>
      <c r="F10" s="47" t="inlineStr">
        <is>
          <t>Vencidas</t>
        </is>
      </c>
      <c r="G10" s="47" t="inlineStr">
        <is>
          <t>Observación</t>
        </is>
      </c>
    </row>
    <row r="11">
      <c r="B11" s="7" t="inlineStr">
        <is>
          <t>Isnardi Sanches</t>
        </is>
      </c>
      <c r="C11" s="9" t="n">
        <v>6</v>
      </c>
      <c r="D11" s="48" t="n"/>
      <c r="E11" s="10">
        <f>IFERROR(D11/C11,"")</f>
        <v/>
      </c>
      <c r="F11" s="48" t="n"/>
      <c r="G11" s="25" t="n"/>
    </row>
    <row r="12">
      <c r="B12" s="7" t="inlineStr">
        <is>
          <t>Luis Amador</t>
        </is>
      </c>
      <c r="C12" s="9" t="n">
        <v>10</v>
      </c>
      <c r="D12" s="48" t="n"/>
      <c r="E12" s="10">
        <f>IFERROR(D12/C12,"")</f>
        <v/>
      </c>
      <c r="F12" s="48" t="n"/>
      <c r="G12" s="25" t="n"/>
    </row>
    <row r="13">
      <c r="B13" s="7" t="inlineStr">
        <is>
          <t>Cristian Bernal</t>
        </is>
      </c>
      <c r="C13" s="9" t="n">
        <v>15</v>
      </c>
      <c r="D13" s="48" t="n"/>
      <c r="E13" s="10">
        <f>IFERROR(D13/C13,"")</f>
        <v/>
      </c>
      <c r="F13" s="48" t="n"/>
      <c r="G13" s="25" t="n"/>
    </row>
    <row r="14">
      <c r="B14" s="7" t="inlineStr">
        <is>
          <t>Beatriz</t>
        </is>
      </c>
      <c r="C14" s="9" t="n">
        <v>2</v>
      </c>
      <c r="D14" s="48" t="n"/>
      <c r="E14" s="10">
        <f>IFERROR(D14/C14,"")</f>
        <v/>
      </c>
      <c r="F14" s="48" t="n"/>
      <c r="G14" s="25" t="n"/>
    </row>
    <row r="15">
      <c r="B15" s="7" t="inlineStr">
        <is>
          <t>Edgar Metaute</t>
        </is>
      </c>
      <c r="C15" s="9" t="n">
        <v>5</v>
      </c>
      <c r="D15" s="48" t="n"/>
      <c r="E15" s="10">
        <f>IFERROR(D15/C15,"")</f>
        <v/>
      </c>
      <c r="F15" s="48" t="n"/>
      <c r="G15" s="25" t="n"/>
    </row>
    <row r="16">
      <c r="B16" s="20" t="inlineStr">
        <is>
          <t>Total equipo</t>
        </is>
      </c>
      <c r="C16" s="21">
        <f>SUM(C11:C15)</f>
        <v/>
      </c>
      <c r="D16" s="21">
        <f>SUM(D11:D15)</f>
        <v/>
      </c>
      <c r="E16" s="22">
        <f>IFERROR(D16/C16,"")</f>
        <v/>
      </c>
      <c r="F16" s="21">
        <f>SUM(F11:F15)</f>
        <v/>
      </c>
      <c r="G16" s="23" t="inlineStr"/>
    </row>
    <row r="17"/>
    <row r="18">
      <c r="B18" s="35" t="inlineStr">
        <is>
          <t>FEBRERO</t>
        </is>
      </c>
      <c r="C18" s="46" t="n"/>
      <c r="D18" s="46" t="n"/>
      <c r="E18" s="46" t="n"/>
      <c r="F18" s="46" t="n"/>
      <c r="G18" s="46" t="n"/>
    </row>
    <row r="19">
      <c r="B19" s="47" t="inlineStr">
        <is>
          <t>Persona</t>
        </is>
      </c>
      <c r="C19" s="47" t="inlineStr">
        <is>
          <t>Programadas</t>
        </is>
      </c>
      <c r="D19" s="47" t="inlineStr">
        <is>
          <t>Completadas</t>
        </is>
      </c>
      <c r="E19" s="47" t="inlineStr">
        <is>
          <t>Cumplimiento</t>
        </is>
      </c>
      <c r="F19" s="47" t="inlineStr">
        <is>
          <t>Vencidas</t>
        </is>
      </c>
      <c r="G19" s="47" t="inlineStr">
        <is>
          <t>Observación</t>
        </is>
      </c>
    </row>
    <row r="20">
      <c r="B20" s="7" t="inlineStr">
        <is>
          <t>Isnardi Sanches</t>
        </is>
      </c>
      <c r="C20" s="9" t="n">
        <v>6</v>
      </c>
      <c r="D20" s="48" t="n"/>
      <c r="E20" s="10">
        <f>IFERROR(D20/C20,"")</f>
        <v/>
      </c>
      <c r="F20" s="48" t="n"/>
      <c r="G20" s="25" t="n"/>
    </row>
    <row r="21">
      <c r="B21" s="7" t="inlineStr">
        <is>
          <t>Luis Amador</t>
        </is>
      </c>
      <c r="C21" s="9" t="n">
        <v>10</v>
      </c>
      <c r="D21" s="48" t="n"/>
      <c r="E21" s="10">
        <f>IFERROR(D21/C21,"")</f>
        <v/>
      </c>
      <c r="F21" s="48" t="n"/>
      <c r="G21" s="25" t="n"/>
    </row>
    <row r="22">
      <c r="B22" s="7" t="inlineStr">
        <is>
          <t>Cristian Bernal</t>
        </is>
      </c>
      <c r="C22" s="9" t="n">
        <v>14</v>
      </c>
      <c r="D22" s="48" t="n"/>
      <c r="E22" s="10">
        <f>IFERROR(D22/C22,"")</f>
        <v/>
      </c>
      <c r="F22" s="48" t="n"/>
      <c r="G22" s="25" t="n"/>
    </row>
    <row r="23">
      <c r="B23" s="7" t="inlineStr">
        <is>
          <t>Beatriz</t>
        </is>
      </c>
      <c r="C23" s="9" t="n">
        <v>2</v>
      </c>
      <c r="D23" s="48" t="n"/>
      <c r="E23" s="10">
        <f>IFERROR(D23/C23,"")</f>
        <v/>
      </c>
      <c r="F23" s="48" t="n"/>
      <c r="G23" s="25" t="n"/>
    </row>
    <row r="24">
      <c r="B24" s="7" t="inlineStr">
        <is>
          <t>Edgar Metaute</t>
        </is>
      </c>
      <c r="C24" s="9" t="n">
        <v>5</v>
      </c>
      <c r="D24" s="48" t="n"/>
      <c r="E24" s="10">
        <f>IFERROR(D24/C24,"")</f>
        <v/>
      </c>
      <c r="F24" s="48" t="n"/>
      <c r="G24" s="25" t="n"/>
    </row>
    <row r="25">
      <c r="B25" s="20" t="inlineStr">
        <is>
          <t>Total equipo</t>
        </is>
      </c>
      <c r="C25" s="21">
        <f>SUM(C20:C24)</f>
        <v/>
      </c>
      <c r="D25" s="21">
        <f>SUM(D20:D24)</f>
        <v/>
      </c>
      <c r="E25" s="22">
        <f>IFERROR(D25/C25,"")</f>
        <v/>
      </c>
      <c r="F25" s="21">
        <f>SUM(F20:F24)</f>
        <v/>
      </c>
      <c r="G25" s="23" t="inlineStr"/>
    </row>
    <row r="26"/>
    <row r="27">
      <c r="B27" s="35" t="inlineStr">
        <is>
          <t>MARZO</t>
        </is>
      </c>
      <c r="C27" s="46" t="n"/>
      <c r="D27" s="46" t="n"/>
      <c r="E27" s="46" t="n"/>
      <c r="F27" s="46" t="n"/>
      <c r="G27" s="46" t="n"/>
    </row>
    <row r="28">
      <c r="B28" s="47" t="inlineStr">
        <is>
          <t>Persona</t>
        </is>
      </c>
      <c r="C28" s="47" t="inlineStr">
        <is>
          <t>Programadas</t>
        </is>
      </c>
      <c r="D28" s="47" t="inlineStr">
        <is>
          <t>Completadas</t>
        </is>
      </c>
      <c r="E28" s="47" t="inlineStr">
        <is>
          <t>Cumplimiento</t>
        </is>
      </c>
      <c r="F28" s="47" t="inlineStr">
        <is>
          <t>Vencidas</t>
        </is>
      </c>
      <c r="G28" s="47" t="inlineStr">
        <is>
          <t>Observación</t>
        </is>
      </c>
    </row>
    <row r="29">
      <c r="B29" s="7" t="inlineStr">
        <is>
          <t>Isnardi Sanches</t>
        </is>
      </c>
      <c r="C29" s="9" t="n">
        <v>6</v>
      </c>
      <c r="D29" s="48" t="n"/>
      <c r="E29" s="10">
        <f>IFERROR(D29/C29,"")</f>
        <v/>
      </c>
      <c r="F29" s="48" t="n"/>
      <c r="G29" s="25" t="n"/>
    </row>
    <row r="30">
      <c r="B30" s="7" t="inlineStr">
        <is>
          <t>Luis Amador</t>
        </is>
      </c>
      <c r="C30" s="9" t="n">
        <v>10</v>
      </c>
      <c r="D30" s="48" t="n"/>
      <c r="E30" s="10">
        <f>IFERROR(D30/C30,"")</f>
        <v/>
      </c>
      <c r="F30" s="48" t="n"/>
      <c r="G30" s="25" t="n"/>
    </row>
    <row r="31">
      <c r="B31" s="7" t="inlineStr">
        <is>
          <t>Cristian Bernal</t>
        </is>
      </c>
      <c r="C31" s="9" t="n">
        <v>15</v>
      </c>
      <c r="D31" s="48" t="n"/>
      <c r="E31" s="10">
        <f>IFERROR(D31/C31,"")</f>
        <v/>
      </c>
      <c r="F31" s="48" t="n"/>
      <c r="G31" s="25" t="n"/>
    </row>
    <row r="32">
      <c r="B32" s="7" t="inlineStr">
        <is>
          <t>Beatriz</t>
        </is>
      </c>
      <c r="C32" s="9" t="n">
        <v>2</v>
      </c>
      <c r="D32" s="48" t="n"/>
      <c r="E32" s="10">
        <f>IFERROR(D32/C32,"")</f>
        <v/>
      </c>
      <c r="F32" s="48" t="n"/>
      <c r="G32" s="25" t="n"/>
    </row>
    <row r="33">
      <c r="B33" s="7" t="inlineStr">
        <is>
          <t>Edgar Metaute</t>
        </is>
      </c>
      <c r="C33" s="9" t="n">
        <v>5</v>
      </c>
      <c r="D33" s="48" t="n"/>
      <c r="E33" s="10">
        <f>IFERROR(D33/C33,"")</f>
        <v/>
      </c>
      <c r="F33" s="48" t="n"/>
      <c r="G33" s="25" t="n"/>
    </row>
    <row r="34">
      <c r="B34" s="20" t="inlineStr">
        <is>
          <t>Total equipo</t>
        </is>
      </c>
      <c r="C34" s="21">
        <f>SUM(C29:C33)</f>
        <v/>
      </c>
      <c r="D34" s="21">
        <f>SUM(D29:D33)</f>
        <v/>
      </c>
      <c r="E34" s="22">
        <f>IFERROR(D34/C34,"")</f>
        <v/>
      </c>
      <c r="F34" s="21">
        <f>SUM(F29:F33)</f>
        <v/>
      </c>
      <c r="G34" s="23" t="inlineStr"/>
    </row>
    <row r="35"/>
    <row r="36">
      <c r="B36" s="35" t="inlineStr">
        <is>
          <t>ABRIL</t>
        </is>
      </c>
      <c r="C36" s="46" t="n"/>
      <c r="D36" s="46" t="n"/>
      <c r="E36" s="46" t="n"/>
      <c r="F36" s="46" t="n"/>
      <c r="G36" s="46" t="n"/>
    </row>
    <row r="37">
      <c r="B37" s="47" t="inlineStr">
        <is>
          <t>Persona</t>
        </is>
      </c>
      <c r="C37" s="47" t="inlineStr">
        <is>
          <t>Programadas</t>
        </is>
      </c>
      <c r="D37" s="47" t="inlineStr">
        <is>
          <t>Completadas</t>
        </is>
      </c>
      <c r="E37" s="47" t="inlineStr">
        <is>
          <t>Cumplimiento</t>
        </is>
      </c>
      <c r="F37" s="47" t="inlineStr">
        <is>
          <t>Vencidas</t>
        </is>
      </c>
      <c r="G37" s="47" t="inlineStr">
        <is>
          <t>Observación</t>
        </is>
      </c>
    </row>
    <row r="38">
      <c r="B38" s="7" t="inlineStr">
        <is>
          <t>Isnardi Sanches</t>
        </is>
      </c>
      <c r="C38" s="9" t="n">
        <v>6</v>
      </c>
      <c r="D38" s="48" t="n"/>
      <c r="E38" s="10">
        <f>IFERROR(D38/C38,"")</f>
        <v/>
      </c>
      <c r="F38" s="48" t="n"/>
      <c r="G38" s="25" t="n"/>
    </row>
    <row r="39">
      <c r="B39" s="7" t="inlineStr">
        <is>
          <t>Luis Amador</t>
        </is>
      </c>
      <c r="C39" s="9" t="n">
        <v>10</v>
      </c>
      <c r="D39" s="48" t="n"/>
      <c r="E39" s="10">
        <f>IFERROR(D39/C39,"")</f>
        <v/>
      </c>
      <c r="F39" s="48" t="n"/>
      <c r="G39" s="25" t="n"/>
    </row>
    <row r="40">
      <c r="B40" s="7" t="inlineStr">
        <is>
          <t>Cristian Bernal</t>
        </is>
      </c>
      <c r="C40" s="9" t="n">
        <v>14</v>
      </c>
      <c r="D40" s="48" t="n"/>
      <c r="E40" s="10">
        <f>IFERROR(D40/C40,"")</f>
        <v/>
      </c>
      <c r="F40" s="48" t="n"/>
      <c r="G40" s="25" t="n"/>
    </row>
    <row r="41">
      <c r="B41" s="7" t="inlineStr">
        <is>
          <t>Beatriz</t>
        </is>
      </c>
      <c r="C41" s="9" t="n">
        <v>2</v>
      </c>
      <c r="D41" s="48" t="n"/>
      <c r="E41" s="10">
        <f>IFERROR(D41/C41,"")</f>
        <v/>
      </c>
      <c r="F41" s="48" t="n"/>
      <c r="G41" s="25" t="n"/>
    </row>
    <row r="42">
      <c r="B42" s="7" t="inlineStr">
        <is>
          <t>Edgar Metaute</t>
        </is>
      </c>
      <c r="C42" s="9" t="n">
        <v>5</v>
      </c>
      <c r="D42" s="48" t="n"/>
      <c r="E42" s="10">
        <f>IFERROR(D42/C42,"")</f>
        <v/>
      </c>
      <c r="F42" s="48" t="n"/>
      <c r="G42" s="25" t="n"/>
    </row>
    <row r="43">
      <c r="B43" s="20" t="inlineStr">
        <is>
          <t>Total equipo</t>
        </is>
      </c>
      <c r="C43" s="21">
        <f>SUM(C38:C42)</f>
        <v/>
      </c>
      <c r="D43" s="21">
        <f>SUM(D38:D42)</f>
        <v/>
      </c>
      <c r="E43" s="22">
        <f>IFERROR(D43/C43,"")</f>
        <v/>
      </c>
      <c r="F43" s="21">
        <f>SUM(F38:F42)</f>
        <v/>
      </c>
      <c r="G43" s="23" t="inlineStr"/>
    </row>
    <row r="44"/>
    <row r="45">
      <c r="B45" s="35" t="inlineStr">
        <is>
          <t>MAYO</t>
        </is>
      </c>
      <c r="C45" s="46" t="n"/>
      <c r="D45" s="46" t="n"/>
      <c r="E45" s="46" t="n"/>
      <c r="F45" s="46" t="n"/>
      <c r="G45" s="46" t="n"/>
    </row>
    <row r="46">
      <c r="B46" s="47" t="inlineStr">
        <is>
          <t>Persona</t>
        </is>
      </c>
      <c r="C46" s="47" t="inlineStr">
        <is>
          <t>Programadas</t>
        </is>
      </c>
      <c r="D46" s="47" t="inlineStr">
        <is>
          <t>Completadas</t>
        </is>
      </c>
      <c r="E46" s="47" t="inlineStr">
        <is>
          <t>Cumplimiento</t>
        </is>
      </c>
      <c r="F46" s="47" t="inlineStr">
        <is>
          <t>Vencidas</t>
        </is>
      </c>
      <c r="G46" s="47" t="inlineStr">
        <is>
          <t>Observación</t>
        </is>
      </c>
    </row>
    <row r="47">
      <c r="B47" s="7" t="inlineStr">
        <is>
          <t>Isnardi Sanches</t>
        </is>
      </c>
      <c r="C47" s="9" t="n">
        <v>6</v>
      </c>
      <c r="D47" s="48" t="n"/>
      <c r="E47" s="10">
        <f>IFERROR(D47/C47,"")</f>
        <v/>
      </c>
      <c r="F47" s="48" t="n"/>
      <c r="G47" s="25" t="n"/>
    </row>
    <row r="48">
      <c r="B48" s="7" t="inlineStr">
        <is>
          <t>Luis Amador</t>
        </is>
      </c>
      <c r="C48" s="9" t="n">
        <v>10</v>
      </c>
      <c r="D48" s="48" t="n"/>
      <c r="E48" s="10">
        <f>IFERROR(D48/C48,"")</f>
        <v/>
      </c>
      <c r="F48" s="48" t="n"/>
      <c r="G48" s="25" t="n"/>
    </row>
    <row r="49">
      <c r="B49" s="7" t="inlineStr">
        <is>
          <t>Cristian Bernal</t>
        </is>
      </c>
      <c r="C49" s="9" t="n">
        <v>15</v>
      </c>
      <c r="D49" s="48" t="n"/>
      <c r="E49" s="10">
        <f>IFERROR(D49/C49,"")</f>
        <v/>
      </c>
      <c r="F49" s="48" t="n"/>
      <c r="G49" s="25" t="n"/>
    </row>
    <row r="50">
      <c r="B50" s="7" t="inlineStr">
        <is>
          <t>Beatriz</t>
        </is>
      </c>
      <c r="C50" s="9" t="n">
        <v>2</v>
      </c>
      <c r="D50" s="48" t="n"/>
      <c r="E50" s="10">
        <f>IFERROR(D50/C50,"")</f>
        <v/>
      </c>
      <c r="F50" s="48" t="n"/>
      <c r="G50" s="25" t="n"/>
    </row>
    <row r="51">
      <c r="B51" s="7" t="inlineStr">
        <is>
          <t>Edgar Metaute</t>
        </is>
      </c>
      <c r="C51" s="9" t="n">
        <v>5</v>
      </c>
      <c r="D51" s="48" t="n"/>
      <c r="E51" s="10">
        <f>IFERROR(D51/C51,"")</f>
        <v/>
      </c>
      <c r="F51" s="48" t="n"/>
      <c r="G51" s="25" t="n"/>
    </row>
    <row r="52">
      <c r="B52" s="20" t="inlineStr">
        <is>
          <t>Total equipo</t>
        </is>
      </c>
      <c r="C52" s="21">
        <f>SUM(C47:C51)</f>
        <v/>
      </c>
      <c r="D52" s="21">
        <f>SUM(D47:D51)</f>
        <v/>
      </c>
      <c r="E52" s="22">
        <f>IFERROR(D52/C52,"")</f>
        <v/>
      </c>
      <c r="F52" s="21">
        <f>SUM(F47:F51)</f>
        <v/>
      </c>
      <c r="G52" s="23" t="inlineStr"/>
    </row>
    <row r="53"/>
    <row r="54">
      <c r="B54" s="35" t="inlineStr">
        <is>
          <t>JUNIO</t>
        </is>
      </c>
      <c r="C54" s="46" t="n"/>
      <c r="D54" s="46" t="n"/>
      <c r="E54" s="46" t="n"/>
      <c r="F54" s="46" t="n"/>
      <c r="G54" s="46" t="n"/>
    </row>
    <row r="55">
      <c r="B55" s="47" t="inlineStr">
        <is>
          <t>Persona</t>
        </is>
      </c>
      <c r="C55" s="47" t="inlineStr">
        <is>
          <t>Programadas</t>
        </is>
      </c>
      <c r="D55" s="47" t="inlineStr">
        <is>
          <t>Completadas</t>
        </is>
      </c>
      <c r="E55" s="47" t="inlineStr">
        <is>
          <t>Cumplimiento</t>
        </is>
      </c>
      <c r="F55" s="47" t="inlineStr">
        <is>
          <t>Vencidas</t>
        </is>
      </c>
      <c r="G55" s="47" t="inlineStr">
        <is>
          <t>Observación</t>
        </is>
      </c>
    </row>
    <row r="56">
      <c r="B56" s="7" t="inlineStr">
        <is>
          <t>Isnardi Sanches</t>
        </is>
      </c>
      <c r="C56" s="9" t="n">
        <v>6</v>
      </c>
      <c r="D56" s="48" t="n"/>
      <c r="E56" s="10">
        <f>IFERROR(D56/C56,"")</f>
        <v/>
      </c>
      <c r="F56" s="48" t="n"/>
      <c r="G56" s="25" t="n"/>
    </row>
    <row r="57">
      <c r="B57" s="7" t="inlineStr">
        <is>
          <t>Luis Amador</t>
        </is>
      </c>
      <c r="C57" s="9" t="n">
        <v>10</v>
      </c>
      <c r="D57" s="48" t="n"/>
      <c r="E57" s="10">
        <f>IFERROR(D57/C57,"")</f>
        <v/>
      </c>
      <c r="F57" s="48" t="n"/>
      <c r="G57" s="25" t="n"/>
    </row>
    <row r="58">
      <c r="B58" s="7" t="inlineStr">
        <is>
          <t>Cristian Bernal</t>
        </is>
      </c>
      <c r="C58" s="9" t="n">
        <v>14</v>
      </c>
      <c r="D58" s="48" t="n"/>
      <c r="E58" s="10">
        <f>IFERROR(D58/C58,"")</f>
        <v/>
      </c>
      <c r="F58" s="48" t="n"/>
      <c r="G58" s="25" t="n"/>
    </row>
    <row r="59">
      <c r="B59" s="7" t="inlineStr">
        <is>
          <t>Beatriz</t>
        </is>
      </c>
      <c r="C59" s="9" t="n">
        <v>2</v>
      </c>
      <c r="D59" s="48" t="n"/>
      <c r="E59" s="10">
        <f>IFERROR(D59/C59,"")</f>
        <v/>
      </c>
      <c r="F59" s="48" t="n"/>
      <c r="G59" s="25" t="n"/>
    </row>
    <row r="60">
      <c r="B60" s="7" t="inlineStr">
        <is>
          <t>Edgar Metaute</t>
        </is>
      </c>
      <c r="C60" s="9" t="n">
        <v>5</v>
      </c>
      <c r="D60" s="48" t="n"/>
      <c r="E60" s="10">
        <f>IFERROR(D60/C60,"")</f>
        <v/>
      </c>
      <c r="F60" s="48" t="n"/>
      <c r="G60" s="25" t="n"/>
    </row>
    <row r="61">
      <c r="B61" s="20" t="inlineStr">
        <is>
          <t>Total equipo</t>
        </is>
      </c>
      <c r="C61" s="21">
        <f>SUM(C56:C60)</f>
        <v/>
      </c>
      <c r="D61" s="21">
        <f>SUM(D56:D60)</f>
        <v/>
      </c>
      <c r="E61" s="22">
        <f>IFERROR(D61/C61,"")</f>
        <v/>
      </c>
      <c r="F61" s="21">
        <f>SUM(F56:F60)</f>
        <v/>
      </c>
      <c r="G61" s="23" t="inlineStr"/>
    </row>
    <row r="62"/>
    <row r="63">
      <c r="B63" s="35" t="inlineStr">
        <is>
          <t>JULIO</t>
        </is>
      </c>
      <c r="C63" s="46" t="n"/>
      <c r="D63" s="46" t="n"/>
      <c r="E63" s="46" t="n"/>
      <c r="F63" s="46" t="n"/>
      <c r="G63" s="46" t="n"/>
    </row>
    <row r="64">
      <c r="B64" s="47" t="inlineStr">
        <is>
          <t>Persona</t>
        </is>
      </c>
      <c r="C64" s="47" t="inlineStr">
        <is>
          <t>Programadas</t>
        </is>
      </c>
      <c r="D64" s="47" t="inlineStr">
        <is>
          <t>Completadas</t>
        </is>
      </c>
      <c r="E64" s="47" t="inlineStr">
        <is>
          <t>Cumplimiento</t>
        </is>
      </c>
      <c r="F64" s="47" t="inlineStr">
        <is>
          <t>Vencidas</t>
        </is>
      </c>
      <c r="G64" s="47" t="inlineStr">
        <is>
          <t>Observación</t>
        </is>
      </c>
    </row>
    <row r="65">
      <c r="B65" s="7" t="inlineStr">
        <is>
          <t>Isnardi Sanches</t>
        </is>
      </c>
      <c r="C65" s="9" t="n">
        <v>6</v>
      </c>
      <c r="D65" s="48" t="n"/>
      <c r="E65" s="10">
        <f>IFERROR(D65/C65,"")</f>
        <v/>
      </c>
      <c r="F65" s="48" t="n"/>
      <c r="G65" s="25" t="n"/>
    </row>
    <row r="66">
      <c r="B66" s="7" t="inlineStr">
        <is>
          <t>Luis Amador</t>
        </is>
      </c>
      <c r="C66" s="9" t="n">
        <v>10</v>
      </c>
      <c r="D66" s="48" t="n"/>
      <c r="E66" s="10">
        <f>IFERROR(D66/C66,"")</f>
        <v/>
      </c>
      <c r="F66" s="48" t="n"/>
      <c r="G66" s="25" t="n"/>
    </row>
    <row r="67">
      <c r="B67" s="7" t="inlineStr">
        <is>
          <t>Cristian Bernal</t>
        </is>
      </c>
      <c r="C67" s="9" t="n">
        <v>15</v>
      </c>
      <c r="D67" s="48" t="n"/>
      <c r="E67" s="10">
        <f>IFERROR(D67/C67,"")</f>
        <v/>
      </c>
      <c r="F67" s="48" t="n"/>
      <c r="G67" s="25" t="n"/>
    </row>
    <row r="68">
      <c r="B68" s="7" t="inlineStr">
        <is>
          <t>Beatriz</t>
        </is>
      </c>
      <c r="C68" s="9" t="n">
        <v>2</v>
      </c>
      <c r="D68" s="48" t="n"/>
      <c r="E68" s="10">
        <f>IFERROR(D68/C68,"")</f>
        <v/>
      </c>
      <c r="F68" s="48" t="n"/>
      <c r="G68" s="25" t="n"/>
    </row>
    <row r="69">
      <c r="B69" s="7" t="inlineStr">
        <is>
          <t>Edgar Metaute</t>
        </is>
      </c>
      <c r="C69" s="9" t="n">
        <v>5</v>
      </c>
      <c r="D69" s="48" t="n"/>
      <c r="E69" s="10">
        <f>IFERROR(D69/C69,"")</f>
        <v/>
      </c>
      <c r="F69" s="48" t="n"/>
      <c r="G69" s="25" t="n"/>
    </row>
    <row r="70">
      <c r="B70" s="20" t="inlineStr">
        <is>
          <t>Total equipo</t>
        </is>
      </c>
      <c r="C70" s="21">
        <f>SUM(C65:C69)</f>
        <v/>
      </c>
      <c r="D70" s="21">
        <f>SUM(D65:D69)</f>
        <v/>
      </c>
      <c r="E70" s="22">
        <f>IFERROR(D70/C70,"")</f>
        <v/>
      </c>
      <c r="F70" s="21">
        <f>SUM(F65:F69)</f>
        <v/>
      </c>
      <c r="G70" s="23" t="inlineStr"/>
    </row>
    <row r="71"/>
    <row r="72">
      <c r="B72" s="35" t="inlineStr">
        <is>
          <t>AGOSTO</t>
        </is>
      </c>
      <c r="C72" s="46" t="n"/>
      <c r="D72" s="46" t="n"/>
      <c r="E72" s="46" t="n"/>
      <c r="F72" s="46" t="n"/>
      <c r="G72" s="46" t="n"/>
    </row>
    <row r="73">
      <c r="B73" s="47" t="inlineStr">
        <is>
          <t>Persona</t>
        </is>
      </c>
      <c r="C73" s="47" t="inlineStr">
        <is>
          <t>Programadas</t>
        </is>
      </c>
      <c r="D73" s="47" t="inlineStr">
        <is>
          <t>Completadas</t>
        </is>
      </c>
      <c r="E73" s="47" t="inlineStr">
        <is>
          <t>Cumplimiento</t>
        </is>
      </c>
      <c r="F73" s="47" t="inlineStr">
        <is>
          <t>Vencidas</t>
        </is>
      </c>
      <c r="G73" s="47" t="inlineStr">
        <is>
          <t>Observación</t>
        </is>
      </c>
    </row>
    <row r="74">
      <c r="B74" s="7" t="inlineStr">
        <is>
          <t>Isnardi Sanches</t>
        </is>
      </c>
      <c r="C74" s="9" t="n">
        <v>6</v>
      </c>
      <c r="D74" s="48" t="n"/>
      <c r="E74" s="10">
        <f>IFERROR(D74/C74,"")</f>
        <v/>
      </c>
      <c r="F74" s="48" t="n"/>
      <c r="G74" s="25" t="n"/>
    </row>
    <row r="75">
      <c r="B75" s="7" t="inlineStr">
        <is>
          <t>Luis Amador</t>
        </is>
      </c>
      <c r="C75" s="9" t="n">
        <v>10</v>
      </c>
      <c r="D75" s="48" t="n"/>
      <c r="E75" s="10">
        <f>IFERROR(D75/C75,"")</f>
        <v/>
      </c>
      <c r="F75" s="48" t="n"/>
      <c r="G75" s="25" t="n"/>
    </row>
    <row r="76">
      <c r="B76" s="7" t="inlineStr">
        <is>
          <t>Cristian Bernal</t>
        </is>
      </c>
      <c r="C76" s="9" t="n">
        <v>14</v>
      </c>
      <c r="D76" s="48" t="n"/>
      <c r="E76" s="10">
        <f>IFERROR(D76/C76,"")</f>
        <v/>
      </c>
      <c r="F76" s="48" t="n"/>
      <c r="G76" s="25" t="n"/>
    </row>
    <row r="77">
      <c r="B77" s="7" t="inlineStr">
        <is>
          <t>Beatriz</t>
        </is>
      </c>
      <c r="C77" s="9" t="n">
        <v>2</v>
      </c>
      <c r="D77" s="48" t="n"/>
      <c r="E77" s="10">
        <f>IFERROR(D77/C77,"")</f>
        <v/>
      </c>
      <c r="F77" s="48" t="n"/>
      <c r="G77" s="25" t="n"/>
    </row>
    <row r="78">
      <c r="B78" s="7" t="inlineStr">
        <is>
          <t>Edgar Metaute</t>
        </is>
      </c>
      <c r="C78" s="9" t="n">
        <v>5</v>
      </c>
      <c r="D78" s="48" t="n"/>
      <c r="E78" s="10">
        <f>IFERROR(D78/C78,"")</f>
        <v/>
      </c>
      <c r="F78" s="48" t="n"/>
      <c r="G78" s="25" t="n"/>
    </row>
    <row r="79">
      <c r="B79" s="20" t="inlineStr">
        <is>
          <t>Total equipo</t>
        </is>
      </c>
      <c r="C79" s="21">
        <f>SUM(C74:C78)</f>
        <v/>
      </c>
      <c r="D79" s="21">
        <f>SUM(D74:D78)</f>
        <v/>
      </c>
      <c r="E79" s="22">
        <f>IFERROR(D79/C79,"")</f>
        <v/>
      </c>
      <c r="F79" s="21">
        <f>SUM(F74:F78)</f>
        <v/>
      </c>
      <c r="G79" s="23" t="inlineStr"/>
    </row>
    <row r="80"/>
    <row r="81">
      <c r="B81" s="35" t="inlineStr">
        <is>
          <t>SEPTIEMBRE</t>
        </is>
      </c>
      <c r="C81" s="46" t="n"/>
      <c r="D81" s="46" t="n"/>
      <c r="E81" s="46" t="n"/>
      <c r="F81" s="46" t="n"/>
      <c r="G81" s="46" t="n"/>
    </row>
    <row r="82">
      <c r="B82" s="47" t="inlineStr">
        <is>
          <t>Persona</t>
        </is>
      </c>
      <c r="C82" s="47" t="inlineStr">
        <is>
          <t>Programadas</t>
        </is>
      </c>
      <c r="D82" s="47" t="inlineStr">
        <is>
          <t>Completadas</t>
        </is>
      </c>
      <c r="E82" s="47" t="inlineStr">
        <is>
          <t>Cumplimiento</t>
        </is>
      </c>
      <c r="F82" s="47" t="inlineStr">
        <is>
          <t>Vencidas</t>
        </is>
      </c>
      <c r="G82" s="47" t="inlineStr">
        <is>
          <t>Observación</t>
        </is>
      </c>
    </row>
    <row r="83">
      <c r="B83" s="7" t="inlineStr">
        <is>
          <t>Isnardi Sanches</t>
        </is>
      </c>
      <c r="C83" s="9" t="n">
        <v>6</v>
      </c>
      <c r="D83" s="48" t="n"/>
      <c r="E83" s="10">
        <f>IFERROR(D83/C83,"")</f>
        <v/>
      </c>
      <c r="F83" s="48" t="n"/>
      <c r="G83" s="25" t="n"/>
    </row>
    <row r="84">
      <c r="B84" s="7" t="inlineStr">
        <is>
          <t>Luis Amador</t>
        </is>
      </c>
      <c r="C84" s="9" t="n">
        <v>10</v>
      </c>
      <c r="D84" s="48" t="n"/>
      <c r="E84" s="10">
        <f>IFERROR(D84/C84,"")</f>
        <v/>
      </c>
      <c r="F84" s="48" t="n"/>
      <c r="G84" s="25" t="n"/>
    </row>
    <row r="85">
      <c r="B85" s="7" t="inlineStr">
        <is>
          <t>Cristian Bernal</t>
        </is>
      </c>
      <c r="C85" s="9" t="n">
        <v>15</v>
      </c>
      <c r="D85" s="48" t="n"/>
      <c r="E85" s="10">
        <f>IFERROR(D85/C85,"")</f>
        <v/>
      </c>
      <c r="F85" s="48" t="n"/>
      <c r="G85" s="25" t="n"/>
    </row>
    <row r="86">
      <c r="B86" s="7" t="inlineStr">
        <is>
          <t>Beatriz</t>
        </is>
      </c>
      <c r="C86" s="9" t="n">
        <v>2</v>
      </c>
      <c r="D86" s="48" t="n"/>
      <c r="E86" s="10">
        <f>IFERROR(D86/C86,"")</f>
        <v/>
      </c>
      <c r="F86" s="48" t="n"/>
      <c r="G86" s="25" t="n"/>
    </row>
    <row r="87">
      <c r="B87" s="7" t="inlineStr">
        <is>
          <t>Edgar Metaute</t>
        </is>
      </c>
      <c r="C87" s="9" t="n">
        <v>5</v>
      </c>
      <c r="D87" s="48" t="n"/>
      <c r="E87" s="10">
        <f>IFERROR(D87/C87,"")</f>
        <v/>
      </c>
      <c r="F87" s="48" t="n"/>
      <c r="G87" s="25" t="n"/>
    </row>
    <row r="88">
      <c r="B88" s="20" t="inlineStr">
        <is>
          <t>Total equipo</t>
        </is>
      </c>
      <c r="C88" s="21">
        <f>SUM(C83:C87)</f>
        <v/>
      </c>
      <c r="D88" s="21">
        <f>SUM(D83:D87)</f>
        <v/>
      </c>
      <c r="E88" s="22">
        <f>IFERROR(D88/C88,"")</f>
        <v/>
      </c>
      <c r="F88" s="21">
        <f>SUM(F83:F87)</f>
        <v/>
      </c>
      <c r="G88" s="23" t="inlineStr"/>
    </row>
    <row r="89"/>
    <row r="90">
      <c r="B90" s="35" t="inlineStr">
        <is>
          <t>OCTUBRE</t>
        </is>
      </c>
      <c r="C90" s="46" t="n"/>
      <c r="D90" s="46" t="n"/>
      <c r="E90" s="46" t="n"/>
      <c r="F90" s="46" t="n"/>
      <c r="G90" s="46" t="n"/>
    </row>
    <row r="91">
      <c r="B91" s="47" t="inlineStr">
        <is>
          <t>Persona</t>
        </is>
      </c>
      <c r="C91" s="47" t="inlineStr">
        <is>
          <t>Programadas</t>
        </is>
      </c>
      <c r="D91" s="47" t="inlineStr">
        <is>
          <t>Completadas</t>
        </is>
      </c>
      <c r="E91" s="47" t="inlineStr">
        <is>
          <t>Cumplimiento</t>
        </is>
      </c>
      <c r="F91" s="47" t="inlineStr">
        <is>
          <t>Vencidas</t>
        </is>
      </c>
      <c r="G91" s="47" t="inlineStr">
        <is>
          <t>Observación</t>
        </is>
      </c>
    </row>
    <row r="92">
      <c r="B92" s="7" t="inlineStr">
        <is>
          <t>Isnardi Sanches</t>
        </is>
      </c>
      <c r="C92" s="9" t="n">
        <v>6</v>
      </c>
      <c r="D92" s="48" t="n"/>
      <c r="E92" s="10">
        <f>IFERROR(D92/C92,"")</f>
        <v/>
      </c>
      <c r="F92" s="48" t="n"/>
      <c r="G92" s="25" t="n"/>
    </row>
    <row r="93">
      <c r="B93" s="7" t="inlineStr">
        <is>
          <t>Luis Amador</t>
        </is>
      </c>
      <c r="C93" s="9" t="n">
        <v>10</v>
      </c>
      <c r="D93" s="48" t="n"/>
      <c r="E93" s="10">
        <f>IFERROR(D93/C93,"")</f>
        <v/>
      </c>
      <c r="F93" s="48" t="n"/>
      <c r="G93" s="25" t="n"/>
    </row>
    <row r="94">
      <c r="B94" s="7" t="inlineStr">
        <is>
          <t>Cristian Bernal</t>
        </is>
      </c>
      <c r="C94" s="9" t="n">
        <v>14</v>
      </c>
      <c r="D94" s="48" t="n"/>
      <c r="E94" s="10">
        <f>IFERROR(D94/C94,"")</f>
        <v/>
      </c>
      <c r="F94" s="48" t="n"/>
      <c r="G94" s="25" t="n"/>
    </row>
    <row r="95">
      <c r="B95" s="7" t="inlineStr">
        <is>
          <t>Beatriz</t>
        </is>
      </c>
      <c r="C95" s="9" t="n">
        <v>2</v>
      </c>
      <c r="D95" s="48" t="n"/>
      <c r="E95" s="10">
        <f>IFERROR(D95/C95,"")</f>
        <v/>
      </c>
      <c r="F95" s="48" t="n"/>
      <c r="G95" s="25" t="n"/>
    </row>
    <row r="96">
      <c r="B96" s="7" t="inlineStr">
        <is>
          <t>Edgar Metaute</t>
        </is>
      </c>
      <c r="C96" s="9" t="n">
        <v>5</v>
      </c>
      <c r="D96" s="48" t="n"/>
      <c r="E96" s="10">
        <f>IFERROR(D96/C96,"")</f>
        <v/>
      </c>
      <c r="F96" s="48" t="n"/>
      <c r="G96" s="25" t="n"/>
    </row>
    <row r="97">
      <c r="B97" s="20" t="inlineStr">
        <is>
          <t>Total equipo</t>
        </is>
      </c>
      <c r="C97" s="21">
        <f>SUM(C92:C96)</f>
        <v/>
      </c>
      <c r="D97" s="21">
        <f>SUM(D92:D96)</f>
        <v/>
      </c>
      <c r="E97" s="22">
        <f>IFERROR(D97/C97,"")</f>
        <v/>
      </c>
      <c r="F97" s="21">
        <f>SUM(F92:F96)</f>
        <v/>
      </c>
      <c r="G97" s="23" t="inlineStr"/>
    </row>
    <row r="98"/>
    <row r="99">
      <c r="B99" s="35" t="inlineStr">
        <is>
          <t>NOVIEMBRE</t>
        </is>
      </c>
      <c r="C99" s="46" t="n"/>
      <c r="D99" s="46" t="n"/>
      <c r="E99" s="46" t="n"/>
      <c r="F99" s="46" t="n"/>
      <c r="G99" s="46" t="n"/>
    </row>
    <row r="100">
      <c r="B100" s="47" t="inlineStr">
        <is>
          <t>Persona</t>
        </is>
      </c>
      <c r="C100" s="47" t="inlineStr">
        <is>
          <t>Programadas</t>
        </is>
      </c>
      <c r="D100" s="47" t="inlineStr">
        <is>
          <t>Completadas</t>
        </is>
      </c>
      <c r="E100" s="47" t="inlineStr">
        <is>
          <t>Cumplimiento</t>
        </is>
      </c>
      <c r="F100" s="47" t="inlineStr">
        <is>
          <t>Vencidas</t>
        </is>
      </c>
      <c r="G100" s="47" t="inlineStr">
        <is>
          <t>Observación</t>
        </is>
      </c>
    </row>
    <row r="101">
      <c r="B101" s="7" t="inlineStr">
        <is>
          <t>Isnardi Sanches</t>
        </is>
      </c>
      <c r="C101" s="9" t="n">
        <v>6</v>
      </c>
      <c r="D101" s="48" t="n"/>
      <c r="E101" s="10">
        <f>IFERROR(D101/C101,"")</f>
        <v/>
      </c>
      <c r="F101" s="48" t="n"/>
      <c r="G101" s="25" t="n"/>
    </row>
    <row r="102">
      <c r="B102" s="7" t="inlineStr">
        <is>
          <t>Luis Amador</t>
        </is>
      </c>
      <c r="C102" s="9" t="n">
        <v>10</v>
      </c>
      <c r="D102" s="48" t="n"/>
      <c r="E102" s="10">
        <f>IFERROR(D102/C102,"")</f>
        <v/>
      </c>
      <c r="F102" s="48" t="n"/>
      <c r="G102" s="25" t="n"/>
    </row>
    <row r="103">
      <c r="B103" s="7" t="inlineStr">
        <is>
          <t>Cristian Bernal</t>
        </is>
      </c>
      <c r="C103" s="9" t="n">
        <v>15</v>
      </c>
      <c r="D103" s="48" t="n"/>
      <c r="E103" s="10">
        <f>IFERROR(D103/C103,"")</f>
        <v/>
      </c>
      <c r="F103" s="48" t="n"/>
      <c r="G103" s="25" t="n"/>
    </row>
    <row r="104">
      <c r="B104" s="7" t="inlineStr">
        <is>
          <t>Beatriz</t>
        </is>
      </c>
      <c r="C104" s="9" t="n">
        <v>2</v>
      </c>
      <c r="D104" s="48" t="n"/>
      <c r="E104" s="10">
        <f>IFERROR(D104/C104,"")</f>
        <v/>
      </c>
      <c r="F104" s="48" t="n"/>
      <c r="G104" s="25" t="n"/>
    </row>
    <row r="105">
      <c r="B105" s="7" t="inlineStr">
        <is>
          <t>Edgar Metaute</t>
        </is>
      </c>
      <c r="C105" s="9" t="n">
        <v>5</v>
      </c>
      <c r="D105" s="48" t="n"/>
      <c r="E105" s="10">
        <f>IFERROR(D105/C105,"")</f>
        <v/>
      </c>
      <c r="F105" s="48" t="n"/>
      <c r="G105" s="25" t="n"/>
    </row>
    <row r="106">
      <c r="B106" s="20" t="inlineStr">
        <is>
          <t>Total equipo</t>
        </is>
      </c>
      <c r="C106" s="21">
        <f>SUM(C101:C105)</f>
        <v/>
      </c>
      <c r="D106" s="21">
        <f>SUM(D101:D105)</f>
        <v/>
      </c>
      <c r="E106" s="22">
        <f>IFERROR(D106/C106,"")</f>
        <v/>
      </c>
      <c r="F106" s="21">
        <f>SUM(F101:F105)</f>
        <v/>
      </c>
      <c r="G106" s="23" t="inlineStr"/>
    </row>
    <row r="107"/>
    <row r="108">
      <c r="B108" s="35" t="inlineStr">
        <is>
          <t>DICIEMBRE</t>
        </is>
      </c>
      <c r="C108" s="46" t="n"/>
      <c r="D108" s="46" t="n"/>
      <c r="E108" s="46" t="n"/>
      <c r="F108" s="46" t="n"/>
      <c r="G108" s="46" t="n"/>
    </row>
    <row r="109">
      <c r="B109" s="47" t="inlineStr">
        <is>
          <t>Persona</t>
        </is>
      </c>
      <c r="C109" s="47" t="inlineStr">
        <is>
          <t>Programadas</t>
        </is>
      </c>
      <c r="D109" s="47" t="inlineStr">
        <is>
          <t>Completadas</t>
        </is>
      </c>
      <c r="E109" s="47" t="inlineStr">
        <is>
          <t>Cumplimiento</t>
        </is>
      </c>
      <c r="F109" s="47" t="inlineStr">
        <is>
          <t>Vencidas</t>
        </is>
      </c>
      <c r="G109" s="47" t="inlineStr">
        <is>
          <t>Observación</t>
        </is>
      </c>
    </row>
    <row r="110">
      <c r="B110" s="7" t="inlineStr">
        <is>
          <t>Isnardi Sanches</t>
        </is>
      </c>
      <c r="C110" s="9" t="n">
        <v>6</v>
      </c>
      <c r="D110" s="48" t="n"/>
      <c r="E110" s="10">
        <f>IFERROR(D110/C110,"")</f>
        <v/>
      </c>
      <c r="F110" s="48" t="n"/>
      <c r="G110" s="25" t="n"/>
    </row>
    <row r="111">
      <c r="B111" s="7" t="inlineStr">
        <is>
          <t>Luis Amador</t>
        </is>
      </c>
      <c r="C111" s="9" t="n">
        <v>10</v>
      </c>
      <c r="D111" s="48" t="n"/>
      <c r="E111" s="10">
        <f>IFERROR(D111/C111,"")</f>
        <v/>
      </c>
      <c r="F111" s="48" t="n"/>
      <c r="G111" s="25" t="n"/>
    </row>
    <row r="112">
      <c r="B112" s="7" t="inlineStr">
        <is>
          <t>Cristian Bernal</t>
        </is>
      </c>
      <c r="C112" s="9" t="n">
        <v>14</v>
      </c>
      <c r="D112" s="48" t="n"/>
      <c r="E112" s="10">
        <f>IFERROR(D112/C112,"")</f>
        <v/>
      </c>
      <c r="F112" s="48" t="n"/>
      <c r="G112" s="25" t="n"/>
    </row>
    <row r="113">
      <c r="B113" s="7" t="inlineStr">
        <is>
          <t>Beatriz</t>
        </is>
      </c>
      <c r="C113" s="9" t="n">
        <v>2</v>
      </c>
      <c r="D113" s="48" t="n"/>
      <c r="E113" s="10">
        <f>IFERROR(D113/C113,"")</f>
        <v/>
      </c>
      <c r="F113" s="48" t="n"/>
      <c r="G113" s="25" t="n"/>
    </row>
    <row r="114">
      <c r="B114" s="7" t="inlineStr">
        <is>
          <t>Edgar Metaute</t>
        </is>
      </c>
      <c r="C114" s="9" t="n">
        <v>5</v>
      </c>
      <c r="D114" s="48" t="n"/>
      <c r="E114" s="10">
        <f>IFERROR(D114/C114,"")</f>
        <v/>
      </c>
      <c r="F114" s="48" t="n"/>
      <c r="G114" s="25" t="n"/>
    </row>
    <row r="115">
      <c r="B115" s="20" t="inlineStr">
        <is>
          <t>Total equipo</t>
        </is>
      </c>
      <c r="C115" s="21">
        <f>SUM(C110:C114)</f>
        <v/>
      </c>
      <c r="D115" s="21">
        <f>SUM(D110:D114)</f>
        <v/>
      </c>
      <c r="E115" s="22">
        <f>IFERROR(D115/C115,"")</f>
        <v/>
      </c>
      <c r="F115" s="21">
        <f>SUM(F110:F114)</f>
        <v/>
      </c>
      <c r="G115" s="23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IES</t>
        </is>
      </c>
      <c r="B1" s="2" t="inlineStr">
        <is>
          <t>Consolidado anual de cumplimiento</t>
        </is>
      </c>
    </row>
    <row r="2">
      <c r="B2" s="3" t="inlineStr">
        <is>
          <t>Se alimenta automáticamente de la hoja 4 · no requiere diligenciamiento</t>
        </is>
      </c>
    </row>
    <row r="4">
      <c r="B4" s="59" t="inlineStr">
        <is>
          <t>Mes</t>
        </is>
      </c>
      <c r="C4" s="59" t="inlineStr">
        <is>
          <t>Programadas</t>
        </is>
      </c>
      <c r="D4" s="59" t="inlineStr">
        <is>
          <t>Completadas</t>
        </is>
      </c>
      <c r="E4" s="59" t="inlineStr">
        <is>
          <t>Cumplimiento</t>
        </is>
      </c>
      <c r="F4" s="59" t="inlineStr">
        <is>
          <t>Vencidas</t>
        </is>
      </c>
    </row>
    <row r="5">
      <c r="B5" s="55" t="inlineStr">
        <is>
          <t>Enero</t>
        </is>
      </c>
      <c r="C5" s="60">
        <f>'4 Gestion mensual'!C16</f>
        <v/>
      </c>
      <c r="D5" s="60">
        <f>'4 Gestion mensual'!D16</f>
        <v/>
      </c>
      <c r="E5" s="61">
        <f>IFERROR(D5/C5,"")</f>
        <v/>
      </c>
      <c r="F5" s="60">
        <f>'4 Gestion mensual'!F16</f>
        <v/>
      </c>
    </row>
    <row r="6">
      <c r="B6" s="55" t="inlineStr">
        <is>
          <t>Febrero</t>
        </is>
      </c>
      <c r="C6" s="60">
        <f>'4 Gestion mensual'!C25</f>
        <v/>
      </c>
      <c r="D6" s="60">
        <f>'4 Gestion mensual'!D25</f>
        <v/>
      </c>
      <c r="E6" s="61">
        <f>IFERROR(D6/C6,"")</f>
        <v/>
      </c>
      <c r="F6" s="60">
        <f>'4 Gestion mensual'!F25</f>
        <v/>
      </c>
    </row>
    <row r="7">
      <c r="B7" s="55" t="inlineStr">
        <is>
          <t>Marzo</t>
        </is>
      </c>
      <c r="C7" s="60">
        <f>'4 Gestion mensual'!C34</f>
        <v/>
      </c>
      <c r="D7" s="60">
        <f>'4 Gestion mensual'!D34</f>
        <v/>
      </c>
      <c r="E7" s="61">
        <f>IFERROR(D7/C7,"")</f>
        <v/>
      </c>
      <c r="F7" s="60">
        <f>'4 Gestion mensual'!F34</f>
        <v/>
      </c>
    </row>
    <row r="8">
      <c r="B8" s="55" t="inlineStr">
        <is>
          <t>Abril</t>
        </is>
      </c>
      <c r="C8" s="60">
        <f>'4 Gestion mensual'!C43</f>
        <v/>
      </c>
      <c r="D8" s="60">
        <f>'4 Gestion mensual'!D43</f>
        <v/>
      </c>
      <c r="E8" s="61">
        <f>IFERROR(D8/C8,"")</f>
        <v/>
      </c>
      <c r="F8" s="60">
        <f>'4 Gestion mensual'!F43</f>
        <v/>
      </c>
    </row>
    <row r="9">
      <c r="B9" s="55" t="inlineStr">
        <is>
          <t>Mayo</t>
        </is>
      </c>
      <c r="C9" s="60">
        <f>'4 Gestion mensual'!C52</f>
        <v/>
      </c>
      <c r="D9" s="60">
        <f>'4 Gestion mensual'!D52</f>
        <v/>
      </c>
      <c r="E9" s="61">
        <f>IFERROR(D9/C9,"")</f>
        <v/>
      </c>
      <c r="F9" s="60">
        <f>'4 Gestion mensual'!F52</f>
        <v/>
      </c>
    </row>
    <row r="10">
      <c r="B10" s="55" t="inlineStr">
        <is>
          <t>Junio</t>
        </is>
      </c>
      <c r="C10" s="60">
        <f>'4 Gestion mensual'!C61</f>
        <v/>
      </c>
      <c r="D10" s="60">
        <f>'4 Gestion mensual'!D61</f>
        <v/>
      </c>
      <c r="E10" s="61">
        <f>IFERROR(D10/C10,"")</f>
        <v/>
      </c>
      <c r="F10" s="60">
        <f>'4 Gestion mensual'!F61</f>
        <v/>
      </c>
    </row>
    <row r="11">
      <c r="B11" s="55" t="inlineStr">
        <is>
          <t>Julio</t>
        </is>
      </c>
      <c r="C11" s="60">
        <f>'4 Gestion mensual'!C70</f>
        <v/>
      </c>
      <c r="D11" s="60">
        <f>'4 Gestion mensual'!D70</f>
        <v/>
      </c>
      <c r="E11" s="61">
        <f>IFERROR(D11/C11,"")</f>
        <v/>
      </c>
      <c r="F11" s="60">
        <f>'4 Gestion mensual'!F70</f>
        <v/>
      </c>
    </row>
    <row r="12">
      <c r="B12" s="55" t="inlineStr">
        <is>
          <t>Agosto</t>
        </is>
      </c>
      <c r="C12" s="60">
        <f>'4 Gestion mensual'!C79</f>
        <v/>
      </c>
      <c r="D12" s="60">
        <f>'4 Gestion mensual'!D79</f>
        <v/>
      </c>
      <c r="E12" s="61">
        <f>IFERROR(D12/C12,"")</f>
        <v/>
      </c>
      <c r="F12" s="60">
        <f>'4 Gestion mensual'!F79</f>
        <v/>
      </c>
    </row>
    <row r="13">
      <c r="B13" s="55" t="inlineStr">
        <is>
          <t>Septiembre</t>
        </is>
      </c>
      <c r="C13" s="60">
        <f>'4 Gestion mensual'!C88</f>
        <v/>
      </c>
      <c r="D13" s="60">
        <f>'4 Gestion mensual'!D88</f>
        <v/>
      </c>
      <c r="E13" s="61">
        <f>IFERROR(D13/C13,"")</f>
        <v/>
      </c>
      <c r="F13" s="60">
        <f>'4 Gestion mensual'!F88</f>
        <v/>
      </c>
    </row>
    <row r="14">
      <c r="B14" s="55" t="inlineStr">
        <is>
          <t>Octubre</t>
        </is>
      </c>
      <c r="C14" s="60">
        <f>'4 Gestion mensual'!C97</f>
        <v/>
      </c>
      <c r="D14" s="60">
        <f>'4 Gestion mensual'!D97</f>
        <v/>
      </c>
      <c r="E14" s="61">
        <f>IFERROR(D14/C14,"")</f>
        <v/>
      </c>
      <c r="F14" s="60">
        <f>'4 Gestion mensual'!F97</f>
        <v/>
      </c>
    </row>
    <row r="15">
      <c r="B15" s="55" t="inlineStr">
        <is>
          <t>Noviembre</t>
        </is>
      </c>
      <c r="C15" s="60">
        <f>'4 Gestion mensual'!C106</f>
        <v/>
      </c>
      <c r="D15" s="60">
        <f>'4 Gestion mensual'!D106</f>
        <v/>
      </c>
      <c r="E15" s="61">
        <f>IFERROR(D15/C15,"")</f>
        <v/>
      </c>
      <c r="F15" s="60">
        <f>'4 Gestion mensual'!F106</f>
        <v/>
      </c>
    </row>
    <row r="16">
      <c r="B16" s="55" t="inlineStr">
        <is>
          <t>Diciembre</t>
        </is>
      </c>
      <c r="C16" s="60">
        <f>'4 Gestion mensual'!C115</f>
        <v/>
      </c>
      <c r="D16" s="60">
        <f>'4 Gestion mensual'!D115</f>
        <v/>
      </c>
      <c r="E16" s="61">
        <f>IFERROR(D16/C16,"")</f>
        <v/>
      </c>
      <c r="F16" s="60">
        <f>'4 Gestion mensual'!F115</f>
        <v/>
      </c>
    </row>
    <row r="17">
      <c r="B17" s="53" t="inlineStr">
        <is>
          <t>TOTAL AÑO</t>
        </is>
      </c>
      <c r="C17" s="62">
        <f>SUM(C5:C16)</f>
        <v/>
      </c>
      <c r="D17" s="62">
        <f>SUM(D5:D16)</f>
        <v/>
      </c>
      <c r="E17" s="63">
        <f>IFERROR(D17/C17,"")</f>
        <v/>
      </c>
      <c r="F17" s="62">
        <f>SUM(F5:F16)</f>
        <v/>
      </c>
    </row>
    <row r="20">
      <c r="B20" s="64" t="inlineStr">
        <is>
          <t>Las celdas de esta hoja se calculan solas. Para que muestren datos, diligencie primero la hoja 4.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2026-08-10T15:50:43Z</dcterms:created>
  <dcterms:modified xsi:type="dcterms:W3CDTF">2026-08-10T21:00:23Z</dcterms:modified>
</cp:coreProperties>
</file>